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P282652\Nextcloud\LSEA_Agents_Framework\1st_part_LLM_Frameworks\"/>
    </mc:Choice>
  </mc:AlternateContent>
  <xr:revisionPtr revIDLastSave="0" documentId="13_ncr:1_{1267CBBB-F284-408A-BFA2-CAB4100717D1}" xr6:coauthVersionLast="47" xr6:coauthVersionMax="47" xr10:uidLastSave="{00000000-0000-0000-0000-000000000000}"/>
  <bookViews>
    <workbookView xWindow="-108" yWindow="-108" windowWidth="23256" windowHeight="14016" activeTab="1" xr2:uid="{00000000-000D-0000-FFFF-FFFF00000000}"/>
  </bookViews>
  <sheets>
    <sheet name="Full-List-Frameworks-and-Notes" sheetId="3" r:id="rId1"/>
    <sheet name="Terms" sheetId="2" r:id="rId2"/>
  </sheets>
  <definedNames>
    <definedName name="_xlnm._FilterDatabase" localSheetId="0" hidden="1">'Full-List-Frameworks-and-Notes'!$D$1:$D$95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6" i="2" l="1"/>
  <c r="H6" i="2"/>
  <c r="H7" i="2"/>
  <c r="H8" i="2"/>
  <c r="H4" i="2"/>
  <c r="H13" i="2"/>
  <c r="H34" i="2"/>
  <c r="H24" i="2"/>
  <c r="H9" i="2"/>
  <c r="H14" i="2"/>
  <c r="H25" i="2"/>
  <c r="H10" i="2"/>
  <c r="H15" i="2"/>
  <c r="H11" i="2"/>
  <c r="H5" i="2"/>
  <c r="H16" i="2"/>
  <c r="H17" i="2"/>
  <c r="H35" i="2"/>
  <c r="H18" i="2"/>
  <c r="H19" i="2"/>
  <c r="H26" i="2"/>
  <c r="H27" i="2"/>
  <c r="H28" i="2"/>
  <c r="H36" i="2"/>
  <c r="H37" i="2"/>
  <c r="H29" i="2"/>
  <c r="H20" i="2"/>
  <c r="H30" i="2"/>
  <c r="H31" i="2"/>
  <c r="H32" i="2"/>
  <c r="H12" i="2"/>
  <c r="H21" i="2"/>
  <c r="H33" i="2"/>
  <c r="H22" i="2"/>
  <c r="H3" i="2"/>
  <c r="H23" i="2"/>
  <c r="H2" i="2"/>
  <c r="C3" i="2"/>
  <c r="F3" i="2" s="1"/>
  <c r="C23" i="2"/>
  <c r="F23" i="2" s="1"/>
  <c r="C6" i="2"/>
  <c r="F6" i="2" s="1"/>
  <c r="C7" i="2"/>
  <c r="F7" i="2" s="1"/>
  <c r="C8" i="2"/>
  <c r="F8" i="2" s="1"/>
  <c r="C4" i="2"/>
  <c r="F4" i="2" s="1"/>
  <c r="C13" i="2"/>
  <c r="F13" i="2" s="1"/>
  <c r="C34" i="2"/>
  <c r="F34" i="2" s="1"/>
  <c r="C24" i="2"/>
  <c r="F24" i="2" s="1"/>
  <c r="C9" i="2"/>
  <c r="F9" i="2" s="1"/>
  <c r="C14" i="2"/>
  <c r="F14" i="2" s="1"/>
  <c r="C25" i="2"/>
  <c r="F25" i="2" s="1"/>
  <c r="C10" i="2"/>
  <c r="F10" i="2" s="1"/>
  <c r="I10" i="2" s="1"/>
  <c r="C15" i="2"/>
  <c r="F15" i="2" s="1"/>
  <c r="C11" i="2"/>
  <c r="F11" i="2" s="1"/>
  <c r="C5" i="2"/>
  <c r="F5" i="2" s="1"/>
  <c r="C16" i="2"/>
  <c r="F16" i="2" s="1"/>
  <c r="C17" i="2"/>
  <c r="F17" i="2" s="1"/>
  <c r="C35" i="2"/>
  <c r="F35" i="2" s="1"/>
  <c r="C18" i="2"/>
  <c r="F18" i="2" s="1"/>
  <c r="C19" i="2"/>
  <c r="F19" i="2" s="1"/>
  <c r="C26" i="2"/>
  <c r="F26" i="2" s="1"/>
  <c r="C27" i="2"/>
  <c r="F27" i="2" s="1"/>
  <c r="C28" i="2"/>
  <c r="F28" i="2" s="1"/>
  <c r="C37" i="2"/>
  <c r="F37" i="2" s="1"/>
  <c r="C29" i="2"/>
  <c r="F29" i="2" s="1"/>
  <c r="C20" i="2"/>
  <c r="F20" i="2" s="1"/>
  <c r="C30" i="2"/>
  <c r="F30" i="2" s="1"/>
  <c r="C31" i="2"/>
  <c r="F31" i="2" s="1"/>
  <c r="C32" i="2"/>
  <c r="F32" i="2" s="1"/>
  <c r="C12" i="2"/>
  <c r="F12" i="2" s="1"/>
  <c r="C21" i="2"/>
  <c r="F21" i="2" s="1"/>
  <c r="C33" i="2"/>
  <c r="F33" i="2" s="1"/>
  <c r="C22" i="2"/>
  <c r="F22" i="2" s="1"/>
  <c r="C2" i="2"/>
  <c r="F2" i="2" s="1"/>
  <c r="I16" i="2" l="1"/>
  <c r="I5" i="2"/>
  <c r="I25" i="2"/>
  <c r="I11" i="2"/>
  <c r="I17" i="2"/>
  <c r="I18" i="2"/>
  <c r="I26" i="2"/>
  <c r="I19" i="2"/>
  <c r="I35" i="2"/>
  <c r="I22" i="2"/>
  <c r="I24" i="2"/>
  <c r="I9" i="2"/>
  <c r="I13" i="2"/>
  <c r="I34" i="2"/>
  <c r="I15" i="2"/>
  <c r="I14" i="2"/>
  <c r="I21" i="2"/>
  <c r="I33" i="2"/>
  <c r="I23" i="2"/>
  <c r="I3" i="2"/>
  <c r="I31" i="2"/>
  <c r="I30" i="2"/>
  <c r="I4" i="2"/>
  <c r="I8" i="2"/>
  <c r="I12" i="2"/>
  <c r="I7" i="2"/>
  <c r="I32" i="2"/>
  <c r="I6" i="2"/>
  <c r="I20" i="2"/>
  <c r="I29" i="2"/>
  <c r="I37" i="2"/>
  <c r="I36" i="2"/>
  <c r="I28" i="2"/>
  <c r="I27" i="2"/>
  <c r="I2" i="2"/>
</calcChain>
</file>

<file path=xl/sharedStrings.xml><?xml version="1.0" encoding="utf-8"?>
<sst xmlns="http://schemas.openxmlformats.org/spreadsheetml/2006/main" count="1258" uniqueCount="526">
  <si>
    <t>ID</t>
  </si>
  <si>
    <t>Framework name</t>
  </si>
  <si>
    <t>Official URL</t>
  </si>
  <si>
    <t>Is it commercially distributed? (if yes, what is the company behind it?)</t>
  </si>
  <si>
    <t>Q1*</t>
  </si>
  <si>
    <t>Q2</t>
  </si>
  <si>
    <t>Q3</t>
  </si>
  <si>
    <t>Q4</t>
  </si>
  <si>
    <t>Q5</t>
  </si>
  <si>
    <t>Q6</t>
  </si>
  <si>
    <t>Remarks</t>
  </si>
  <si>
    <t>Result</t>
  </si>
  <si>
    <t>Description (extracted from the official websites or repositories without modifications)</t>
  </si>
  <si>
    <t>Available SDKs/Code</t>
  </si>
  <si>
    <t xml:space="preserve">License </t>
  </si>
  <si>
    <t>Country</t>
  </si>
  <si>
    <t>Agno</t>
  </si>
  <si>
    <t>https://www.agno.com/</t>
  </si>
  <si>
    <t>No</t>
  </si>
  <si>
    <t>Y</t>
  </si>
  <si>
    <t>N</t>
  </si>
  <si>
    <t>Included</t>
  </si>
  <si>
    <t>Agno is a python framework for building multi-agent systems with shared memory, knowledge and reasoning.</t>
  </si>
  <si>
    <t>Python</t>
  </si>
  <si>
    <t>MPL 2.0</t>
  </si>
  <si>
    <t>AE</t>
  </si>
  <si>
    <t>Atomic Agents</t>
  </si>
  <si>
    <t>https://github.com/BrainBlend-AI/atomic-agents</t>
  </si>
  <si>
    <t>BrainBlend</t>
  </si>
  <si>
    <t>Building AI agents, atomically</t>
  </si>
  <si>
    <t>MIT</t>
  </si>
  <si>
    <t>BE</t>
  </si>
  <si>
    <t>AutoChain</t>
  </si>
  <si>
    <t>https://autochain.forethought.ai/</t>
  </si>
  <si>
    <t>Forethought AI</t>
  </si>
  <si>
    <t>AutoChain: Build lightweight, extensible, and testable LLM Agents</t>
  </si>
  <si>
    <t>US</t>
  </si>
  <si>
    <t>BeeAI</t>
  </si>
  <si>
    <t>https://framework.beeai.dev/</t>
  </si>
  <si>
    <t>Linux Foundation</t>
  </si>
  <si>
    <t>BeeAI Framework is an open-source framework for building production-grade multi-agent systems.</t>
  </si>
  <si>
    <t>Python
TypeScript</t>
  </si>
  <si>
    <t>Apache 2.0</t>
  </si>
  <si>
    <t>BESSER Agentic Framework (BAF)</t>
  </si>
  <si>
    <t>https://besser-agentic-framework.readthedocs.io/latest/index.html</t>
  </si>
  <si>
    <t>The BESSER Agentic Framework (BAF) is part of the BESSER (Building Better Smart Software Faster) project at the Luxembourg Institute of Science and Technology (LIST). It aims to make the design and implementation of agents easier and accessible for everyone.</t>
  </si>
  <si>
    <t>LUX</t>
  </si>
  <si>
    <t>CAMEL</t>
  </si>
  <si>
    <t>https://www.camel-ai.org/</t>
  </si>
  <si>
    <t>Eigent.AI</t>
  </si>
  <si>
    <t>CAMEL is an open-source community dedicated to finding the scaling laws of agents. We believe that studying these agents on a large scale offers valuable insights into their behaviors, capabilities, and potential risks. To facilitate research in this field, we implement and support various types of agents, tasks, prompts, models, and simulated environments.</t>
  </si>
  <si>
    <t>UK</t>
  </si>
  <si>
    <t>CrewAI</t>
  </si>
  <si>
    <t>https://www.crewai.com/open-source</t>
  </si>
  <si>
    <t>CrewAIInc</t>
  </si>
  <si>
    <t>CrewAI is a lean, lightning-fast Python framework built entirely from scratch—completely independent of LangChain or other agent frameworks. It empowers developers with both high-level simplicity and precise low-level control, ideal for creating autonomous AI agents tailored to any scenario.</t>
  </si>
  <si>
    <t>Eclipse LMOS (Agent Reactor - ARC)</t>
  </si>
  <si>
    <t>https://eclipse.dev/lmos/</t>
  </si>
  <si>
    <t>LMOS is an open-source, sovereign, vendor-neutral platform to build and run enterprise-ready multi-agent systems on cloud or on-prem.</t>
  </si>
  <si>
    <t>Kotlin
DSL</t>
  </si>
  <si>
    <t xml:space="preserve">Apache 2.0
CC
</t>
  </si>
  <si>
    <t>DE</t>
  </si>
  <si>
    <t>Google Agent Development Kit</t>
  </si>
  <si>
    <t>https://google.github.io/adk-docs/</t>
  </si>
  <si>
    <t>Google</t>
  </si>
  <si>
    <t>Agent Development Kit (ADK) is a flexible and modular framework for developing and deploying AI agents. While optimized for Gemini and the Google ecosystem, ADK is model-agnostic, deployment-agnostic, and is built for compatibility with other frameworks. ADK was designed to make agent development feel more like software development, to make it easier for developers to create, deploy, and orchestrate agentic architectures that range from simple tasks to complex workflows.</t>
  </si>
  <si>
    <t>Python
Java</t>
  </si>
  <si>
    <t>KaibanJS</t>
  </si>
  <si>
    <t>https://www.kaibanjs.com/</t>
  </si>
  <si>
    <t>KaibanJS is a JavaScript-native framework for building and managing multi-agent systems with a Kanban-inspired approach.</t>
  </si>
  <si>
    <t>Javascript</t>
  </si>
  <si>
    <t>LangGraph</t>
  </si>
  <si>
    <t>langchain.com/langgraph</t>
  </si>
  <si>
    <t>Langchain</t>
  </si>
  <si>
    <t>LangGraph is a low-level orchestration framework for building, managing, and deploying long-running, stateful agents.</t>
  </si>
  <si>
    <t>Python
Javascript</t>
  </si>
  <si>
    <t> MIT</t>
  </si>
  <si>
    <t>Langroid</t>
  </si>
  <si>
    <t>https://langroid.github.io/langroid/</t>
  </si>
  <si>
    <t>Harness LLMs with Multi-Agent Programming</t>
  </si>
  <si>
    <t>Letta</t>
  </si>
  <si>
    <t>https://www.letta.com/</t>
  </si>
  <si>
    <t>Letta AI</t>
  </si>
  <si>
    <t>Excluded</t>
  </si>
  <si>
    <t>The AI Operating System</t>
  </si>
  <si>
    <t>llamaindex</t>
  </si>
  <si>
    <t>https://www.llamaindex.ai/</t>
  </si>
  <si>
    <t>LlamaIndex is a simple, flexible framework for building agentic generative AI applications that allow large language models to work with your data in any format.</t>
  </si>
  <si>
    <t>Python
Typescript</t>
  </si>
  <si>
    <t>Marvin</t>
  </si>
  <si>
    <t>https://marvin.mintlify.app/welcome</t>
  </si>
  <si>
    <t>Prefect</t>
  </si>
  <si>
    <t>Marvin provides a clean, intuitive interface for working with large language models (LLMs) while handling all the complexity of state management, conversation history, and agent coordination.</t>
  </si>
  <si>
    <t>Mastra</t>
  </si>
  <si>
    <t>https://mastra.ai/</t>
  </si>
  <si>
    <t>The TypeScript AI agent framework. ⚡ Assistants, RAG, observability. Supports any LLM: GPT-4, Claude, Gemini, Llama.</t>
  </si>
  <si>
    <t>Typescript</t>
  </si>
  <si>
    <t>ELv2</t>
  </si>
  <si>
    <t>MetaGPT</t>
  </si>
  <si>
    <t>https://docs.deepwisdom.ai/main/en/</t>
  </si>
  <si>
    <t>DeepWisdom </t>
  </si>
  <si>
    <t>The Multi-Agent Framework: First AI Software Company, Towards Natural Language Programming</t>
  </si>
  <si>
    <t>SG</t>
  </si>
  <si>
    <t>Parlant</t>
  </si>
  <si>
    <t>https://www.parlant.io/</t>
  </si>
  <si>
    <t>emcie</t>
  </si>
  <si>
    <t>Parlant is an open-source conversation modeling engine that gives you unparalleled control over Large Language Models (LLMs), enabling the creation of truly deliberate, predictable, and compliant Agentic User Experiences (UX).</t>
  </si>
  <si>
    <t>IL</t>
  </si>
  <si>
    <t>PocketFlow</t>
  </si>
  <si>
    <t>https://the-pocket.github.io/PocketFlow/</t>
  </si>
  <si>
    <t>Pocket Flow: 100-line LLM framework. Let Agents build Agents!</t>
  </si>
  <si>
    <t>PraisonAI</t>
  </si>
  <si>
    <t>https://docs.praison.ai/docs/index</t>
  </si>
  <si>
    <t>PraisonAI is a production-ready Multi-AI Agents framework with self-reflection, designed to create AI Agents to automate and solve problems ranging from simple tasks to complex challenges. </t>
  </si>
  <si>
    <t>Python
Javascript
Typescript
DSL</t>
  </si>
  <si>
    <t>Pydantic AI</t>
  </si>
  <si>
    <t>https://ai.pydantic.dev/</t>
  </si>
  <si>
    <t>Pydantic</t>
  </si>
  <si>
    <t>PydanticAI is a Python agent framework designed to make it less painful to build production grade applications with Generative AI.</t>
  </si>
  <si>
    <t>PySpur</t>
  </si>
  <si>
    <t>https://www.pyspur.dev/</t>
  </si>
  <si>
    <t>SevnAI</t>
  </si>
  <si>
    <t>A visual playground for agentic workflows: Iterate over your agents 10x faster</t>
  </si>
  <si>
    <t>Rig</t>
  </si>
  <si>
    <t>rig.rs</t>
  </si>
  <si>
    <t>Playgrounds Analytics Inc</t>
  </si>
  <si>
    <t>Build portable, modular &amp; lightweight Fullstack Agents</t>
  </si>
  <si>
    <t>Rust</t>
  </si>
  <si>
    <t>SemanticKernel</t>
  </si>
  <si>
    <t>https://learn.microsoft.com/en-us/semantic-kernel/overview/</t>
  </si>
  <si>
    <t>Microsoft</t>
  </si>
  <si>
    <t>Semantic Kernel is a lightweight, open-source development kit that lets you easily build AI agents and integrate the latest AI models into your C#, Python, or Java codebase. It serves as an efficient middleware that enables rapid delivery of enterprise-grade solutions.</t>
  </si>
  <si>
    <t>C#
Python
Java</t>
  </si>
  <si>
    <t>smolagents</t>
  </si>
  <si>
    <t>https://github.com/huggingface/smolagents</t>
  </si>
  <si>
    <t>Huggin Face</t>
  </si>
  <si>
    <t>smolagents is a library that enables you to run powerful agents in a few lines of code.</t>
  </si>
  <si>
    <t>FR/US</t>
  </si>
  <si>
    <t>swarm</t>
  </si>
  <si>
    <t>https://github.com/openai/swarm</t>
  </si>
  <si>
    <t>OpenAI</t>
  </si>
  <si>
    <t>Educational framework exploring ergonomic, lightweight multi-agent orchestration. Managed by OpenAI Solution team.</t>
  </si>
  <si>
    <t>Swarm RS</t>
  </si>
  <si>
    <t>https://github.com/The-Swarm-Corporation/swarms-rs</t>
  </si>
  <si>
    <t>Swarms</t>
  </si>
  <si>
    <t>The Enterprise-Grade Production-Ready Multi-Agent Orchestration Framework in Rust</t>
  </si>
  <si>
    <t>uAgents</t>
  </si>
  <si>
    <t>https://github.com/fetchai/uAgents</t>
  </si>
  <si>
    <t>fetch.ai</t>
  </si>
  <si>
    <t>A fast and lightweight framework for creating decentralized agents with ease.</t>
  </si>
  <si>
    <t>Upsonic</t>
  </si>
  <si>
    <t>https://docs.upsonic.ai/</t>
  </si>
  <si>
    <t>Task oriented AI agent framework for Digital workers and vertical AI agents</t>
  </si>
  <si>
    <t>TR</t>
  </si>
  <si>
    <t>VoltAgent</t>
  </si>
  <si>
    <t>https://voltagent.dev/</t>
  </si>
  <si>
    <t>Escape no-code limits and scratch-built overhead. Build, customize, and orchestrate AI agents with full control, speed, and a great DevEx.</t>
  </si>
  <si>
    <t>AgentForce</t>
  </si>
  <si>
    <t>https://www.salesforce.com/eu/agentforce/</t>
  </si>
  <si>
    <t>Salesforce</t>
  </si>
  <si>
    <t>Agentforce brings digital labour to every employee, department and business process to augment employees and improve customer experiences. Agentforce works with your existing apps, data and business logic and can take action across your entire enterprise. And it’s built on the trusted Salesforce platform, so your data always stays safe.</t>
  </si>
  <si>
    <t>N/A</t>
  </si>
  <si>
    <t>AgentGPT</t>
  </si>
  <si>
    <t>https://github.com/reworkd/AgentGPT</t>
  </si>
  <si>
    <t>Reworkd</t>
  </si>
  <si>
    <t>AgentGPT allows you to configure and deploy Autonomous AI agents. Name your own custom AI and have it embark on any goal imaginable. It will attempt to reach the goal by thinking of tasks to do, executing them, and learning from the results 🚀.</t>
  </si>
  <si>
    <t>GPL 3</t>
  </si>
  <si>
    <t>AgentLite</t>
  </si>
  <si>
    <t>https://github.com/SalesforceAIResearch/AgentLite</t>
  </si>
  <si>
    <t>AgentLite is a research-oriented library designed for building and advancing LLM-based task-oriented agent systems.</t>
  </si>
  <si>
    <t>Agents-Flex</t>
  </si>
  <si>
    <t>https://github.com/agents-flex/agents-flex</t>
  </si>
  <si>
    <t>N**</t>
  </si>
  <si>
    <t>Agents-Flex is an elegant LLM Application Framework like LangChain with Java.</t>
  </si>
  <si>
    <t>Java</t>
  </si>
  <si>
    <t>CHN</t>
  </si>
  <si>
    <t>AgentVerse</t>
  </si>
  <si>
    <t>https://github.com/OpenBMB/AgentVerse</t>
  </si>
  <si>
    <t>OpenBMB</t>
  </si>
  <si>
    <t>AgentVerse is designed to facilitate the deployment of multiple LLM-based agents in various applications. AgentVerse primarily provides two frameworks: task-solving and simulation.</t>
  </si>
  <si>
    <t>AGiXT</t>
  </si>
  <si>
    <t>https://everything.software/</t>
  </si>
  <si>
    <t>GiXT is a dynamic AI Agent Automation Platform that seamlessly orchestrates instruction management and complex task execution across diverse AI providers. Combining adaptive memory, smart features, and a versatile plugin system, AGiXT delivers efficient and comprehensive AI solutions.</t>
  </si>
  <si>
    <t>Python
Typescript
Rust
Zig</t>
  </si>
  <si>
    <t>AI Legion</t>
  </si>
  <si>
    <t>https://github.com/eumemic/ai-legion</t>
  </si>
  <si>
    <t>Remark: Popular project, but undocumented and apparently abandoned</t>
  </si>
  <si>
    <t>An LLM-powered autonomous agent platform</t>
  </si>
  <si>
    <t>Alita</t>
  </si>
  <si>
    <t>Paper: https://www.arxiv.org/abs/2505.20286</t>
  </si>
  <si>
    <t>Academic</t>
  </si>
  <si>
    <t>Paper title: Alita: Generalist Agent Enabling Scalable Agentic Reasoning with Minimal Predefinition and Maximal Self-Evolution</t>
  </si>
  <si>
    <t>Amazon Bedrock (with agents functonalities)</t>
  </si>
  <si>
    <t>https://aws.amazon.com/bedrock/agents/</t>
  </si>
  <si>
    <t>Amazon</t>
  </si>
  <si>
    <t>Remark: The bedrock is a service for AWS clients to manage agents and GenAI-powered applications within AWS ecosystem and not a general purpose code-first framework</t>
  </si>
  <si>
    <t>Enable generative AI applications to automate multistep tasks by seamlessly connecting with company systems, APIs, and data sources</t>
  </si>
  <si>
    <t>anda</t>
  </si>
  <si>
    <t>anda.ai</t>
  </si>
  <si>
    <t>LDC Labs</t>
  </si>
  <si>
    <t>Y**</t>
  </si>
  <si>
    <t>An AI agent framework built with Rust, powered by ICP and TEEs.</t>
  </si>
  <si>
    <t>Apache 2.0
MIT</t>
  </si>
  <si>
    <t>AutoGPT</t>
  </si>
  <si>
    <t>https://agpt.co/</t>
  </si>
  <si>
    <t>AGPT</t>
  </si>
  <si>
    <t>AutoGPT is a powerful platform that allows you to create, deploy, and manage continuous AI agents that automate complex workflows.</t>
  </si>
  <si>
    <t>US*</t>
  </si>
  <si>
    <t>autogpt</t>
  </si>
  <si>
    <t>https://docs.rs/autogpt/latest/autogpt/</t>
  </si>
  <si>
    <t>Remark: Experimental work-in-progress framework</t>
  </si>
  <si>
    <t>🦀 A Pure Rust Framework For Building AGI (WIP).</t>
  </si>
  <si>
    <t>LB</t>
  </si>
  <si>
    <t>BabyAGI</t>
  </si>
  <si>
    <t>https://babyagi.org/</t>
  </si>
  <si>
    <t>This newest BabyAGI is an experimental framework for a self-building autonomous agent. Earlier efforts to expand BabyAGI have made it clear that the optimal way to build a general autonomous agent is to build the simplest thing that can build itself.</t>
  </si>
  <si>
    <t>CAMUNDA</t>
  </si>
  <si>
    <t>https://camunda.com/</t>
  </si>
  <si>
    <t>Camunda GmbH</t>
  </si>
  <si>
    <t>Camunda’s latest release is live—start using AI in your processes today. Build AI agents, automate documents with AI-powered IDP, run RPA bots, and more. All available now.</t>
  </si>
  <si>
    <t>DevOpsGPT</t>
  </si>
  <si>
    <t>https://github.com/kuafuai/DevOpsGPT</t>
  </si>
  <si>
    <t>Multi agent system for AI-driven software development. Combine LLM with DevOps tools to convert natural language requirements into working software. Supports any development language and extends the existing code.</t>
  </si>
  <si>
    <t>Non standard</t>
  </si>
  <si>
    <t>Dialogflow</t>
  </si>
  <si>
    <t>https://cloud.google.com/dialogflow/docs</t>
  </si>
  <si>
    <t>Dialogflow is a natural language understanding platform that makes it easy to design and integrate a conversational user interface into your mobile app, web application, device, bot, interactive voice response system, and so on. Using Dialogflow, you can provide new and engaging ways for users to interact with your product.</t>
  </si>
  <si>
    <t>Dify</t>
  </si>
  <si>
    <t>https://dify.ai/</t>
  </si>
  <si>
    <t>LangGenius</t>
  </si>
  <si>
    <t>Dify offers everything you need — agentic workflows, RAG pipelines, integrations, and observability — all in one place, putting AI power into your hands.</t>
  </si>
  <si>
    <t>DrugAgent</t>
  </si>
  <si>
    <t>Paper: https://pubmed.ncbi.nlm.nih.gov/40297237/</t>
  </si>
  <si>
    <t>Remark: The paper describes a application and not a framework</t>
  </si>
  <si>
    <t>Paper title: DruGagent: Multi-Agent Large Language Model-Based Reasoning for Drug-Target Interaction Prediction</t>
  </si>
  <si>
    <t>DynTaskMAS</t>
  </si>
  <si>
    <t>Paper:https://arxiv.org/abs/2503.07675</t>
  </si>
  <si>
    <t>The paper describes some novelty on task management for agents, but the code/SDK is not directly provided by the authors</t>
  </si>
  <si>
    <t>Paper title: DynTaskMAS: A Dynamic Task Graph-driven Framework for Asynchronous and Parallel LLM-based Multi-Agent Systems</t>
  </si>
  <si>
    <t>JP</t>
  </si>
  <si>
    <t>Eclipse Hara</t>
  </si>
  <si>
    <t>https://github.com/eclipse-hara</t>
  </si>
  <si>
    <t>Remark: Hara is a framework that mention agents, but is not LLM-based</t>
  </si>
  <si>
    <t>Hara-ddiclient is a Kotlin library that facilitates and speeds up the development of DDI API clients for devices connecting to hawkBit servers.</t>
  </si>
  <si>
    <t>JVM languages</t>
  </si>
  <si>
    <t>EPL 2.0</t>
  </si>
  <si>
    <t>Eliza</t>
  </si>
  <si>
    <t>https://github.com/elizaOS/eliza</t>
  </si>
  <si>
    <t>Eliza Labs</t>
  </si>
  <si>
    <t>A framework for multi-agent development and deployment</t>
  </si>
  <si>
    <t>Flowise</t>
  </si>
  <si>
    <t>https://flowiseai.com/</t>
  </si>
  <si>
    <t>Flowiseai Inc</t>
  </si>
  <si>
    <t>Build AI Agents, Visually</t>
  </si>
  <si>
    <t>IBM watsonx Assistant</t>
  </si>
  <si>
    <t>https://www.ibm.com/products/watsonx-assistant</t>
  </si>
  <si>
    <t>IBM</t>
  </si>
  <si>
    <t>IBM watsonx Assistant is a product that helps build better virtual agents to drive enterprise productivity, empowering teams to deliver frictionless self-service experiences and seamlessly scale across your business.</t>
  </si>
  <si>
    <t>IoA</t>
  </si>
  <si>
    <t>https://openbmb.github.io/IoA/</t>
  </si>
  <si>
    <t>Remark: The framework is developed by the same organization as AgentVerse, and it does not intend to be a framework for agent development, but instead a framework for agent communication and discoverability.</t>
  </si>
  <si>
    <t>It’s an open-source framework that aims to create a platform where diverse AI agents can team up to tackle complex tasks.</t>
  </si>
  <si>
    <t>Jade</t>
  </si>
  <si>
    <t>https://jade.tilab.com/</t>
  </si>
  <si>
    <t>Remark: Jade is a framework for multi-agent systems that is not LLM-based</t>
  </si>
  <si>
    <t>JADE (Java Agent DEvelopment Framework) is a software Framework fully implemented in the Java language.</t>
  </si>
  <si>
    <t>IT</t>
  </si>
  <si>
    <t>lagent</t>
  </si>
  <si>
    <t>https://github.com/InternLM/lagent</t>
  </si>
  <si>
    <t>InternalLM</t>
  </si>
  <si>
    <t>A lightweight framework that allows users to efficiently build LLM-based agents.</t>
  </si>
  <si>
    <t>LangFlow</t>
  </si>
  <si>
    <t>https://www.langflow.org/</t>
  </si>
  <si>
    <t>Langflow is a powerful tool for building and deploying AI-powered agents and workflows. It provides developers with both a visual authoring experience and a built-in API server that turns every agent into an API endpoint that can be integrated into applications built on any framework or stack. Langflow comes with batteries included and supports all major LLMs, vector databases and a growing library of AI tools.</t>
  </si>
  <si>
    <t>BR</t>
  </si>
  <si>
    <t>Mesa</t>
  </si>
  <si>
    <t>https://mesa.readthedocs.io/</t>
  </si>
  <si>
    <t>projectmesa</t>
  </si>
  <si>
    <t>Mesa is an open-source Python library for agent-based modeling, ideal for simulating complex systems and exploring emergent behaviors.</t>
  </si>
  <si>
    <t>Microsoft Bot Framework</t>
  </si>
  <si>
    <t>https://github.com/microsoft/botframework-sdk</t>
  </si>
  <si>
    <t>Bot Framework provides the most comprehensive experience for building conversation applications.</t>
  </si>
  <si>
    <t>C#
Python
Javascript</t>
  </si>
  <si>
    <t>n8n</t>
  </si>
  <si>
    <t>https://n8n.io/</t>
  </si>
  <si>
    <t>n8n is a workflow automation platform that gives technical teams the flexibility of code with the speed of no-code. </t>
  </si>
  <si>
    <t>DE/US</t>
  </si>
  <si>
    <t>NetLogo</t>
  </si>
  <si>
    <t>https://ccl.northwestern.edu/netlogo/</t>
  </si>
  <si>
    <t>CCL</t>
  </si>
  <si>
    <t>NetLogo is an open-source multi-platform agent-based modeling environment that is available on all major desktop operating systems</t>
  </si>
  <si>
    <t>Not found</t>
  </si>
  <si>
    <t>NVIDIA NeMo Agent Toolkit</t>
  </si>
  <si>
    <t>https://developer.nvidia.com/nemo-agent-toolkit</t>
  </si>
  <si>
    <t>NVIDIA</t>
  </si>
  <si>
    <t>NVIDIA NeMo™ Agent toolkit is an open-source library that provides framework-agnostic profiling and optimization for production AI agent systems. By exposing hidden bottlenecks and costs, it helps enterprises scale agentic systems efficiently while maintaining reliability.</t>
  </si>
  <si>
    <t>ODA</t>
  </si>
  <si>
    <t>Paper: https://arxiv.org/abs/2404.07677</t>
  </si>
  <si>
    <t>The paper how to combine LLM-based agents and Knowledge Graphs, but the code/SDK is not directly provided by the authors</t>
  </si>
  <si>
    <t>Paper title: ODA: Observation-Driven Agent for integrating LLMs and Knowledge Graphs</t>
  </si>
  <si>
    <t>OpenManus</t>
  </si>
  <si>
    <t>https://github.com/FoundationAgents/OpenManus</t>
  </si>
  <si>
    <t>An open-source framework for building general AI agents.</t>
  </si>
  <si>
    <t>Paypal Agent tolkit</t>
  </si>
  <si>
    <t>https://developer.paypal.com/tools/agent-toolkit/</t>
  </si>
  <si>
    <t>PayPal</t>
  </si>
  <si>
    <t>Remark: It is not a framework for agents development</t>
  </si>
  <si>
    <r>
      <t>PayPal's agent toolkit is a library that incorporates PayPal API capabilities into AI agent workflows. This toolkit enables popular agent frameworks, such as </t>
    </r>
    <r>
      <rPr>
        <sz val="9"/>
        <color rgb="FF0070E0"/>
        <rFont val="Arial"/>
        <family val="2"/>
      </rPr>
      <t>OpenAI's Agents SDK</t>
    </r>
    <r>
      <rPr>
        <sz val="9"/>
        <color rgb="FF001435"/>
        <rFont val="Arial"/>
        <family val="2"/>
      </rPr>
      <t>, </t>
    </r>
    <r>
      <rPr>
        <sz val="9"/>
        <color rgb="FF0070E0"/>
        <rFont val="Arial"/>
        <family val="2"/>
      </rPr>
      <t>Vercel's AI SDK</t>
    </r>
    <r>
      <rPr>
        <sz val="9"/>
        <color rgb="FF001435"/>
        <rFont val="Arial"/>
        <family val="2"/>
      </rPr>
      <t>, </t>
    </r>
    <r>
      <rPr>
        <sz val="9"/>
        <color rgb="FF0070E0"/>
        <rFont val="Arial"/>
        <family val="2"/>
      </rPr>
      <t>Model Context Protocol (MCP)</t>
    </r>
    <r>
      <rPr>
        <sz val="9"/>
        <color rgb="FF001435"/>
        <rFont val="Arial"/>
        <family val="2"/>
      </rPr>
      <t>, </t>
    </r>
    <r>
      <rPr>
        <sz val="9"/>
        <color rgb="FF0070E0"/>
        <rFont val="Arial"/>
        <family val="2"/>
      </rPr>
      <t>LangChain</t>
    </r>
    <r>
      <rPr>
        <sz val="9"/>
        <color rgb="FF001435"/>
        <rFont val="Arial"/>
        <family val="2"/>
      </rPr>
      <t>, and </t>
    </r>
    <r>
      <rPr>
        <sz val="9"/>
        <color rgb="FF0070E0"/>
        <rFont val="Arial"/>
        <family val="2"/>
      </rPr>
      <t>CrewAI</t>
    </r>
    <r>
      <rPr>
        <sz val="9"/>
        <color rgb="FF001435"/>
        <rFont val="Arial"/>
        <family val="2"/>
      </rPr>
      <t>, to integrate with PayPal APIs using function calling. </t>
    </r>
  </si>
  <si>
    <t>PlanGEN</t>
  </si>
  <si>
    <t>Paper: https://arxiv.org/abs/2502.16111</t>
  </si>
  <si>
    <t>Paper title: PlanGEN: A Multi-Agent Framework for 
Generating Planning and Reasoning Trajectories
for Complex Problem Solving</t>
  </si>
  <si>
    <t>Raga</t>
  </si>
  <si>
    <t>https://github.com/raga-ai-hub/RagaAI-Catalyst</t>
  </si>
  <si>
    <t>RagaAI</t>
  </si>
  <si>
    <t>Python SDK for Agent AI Observability, Monitoring and Evaluation Framework. Includes features like agent, llm and tools tracing, debugging multi-agentic system, self-hosted dashboard and advanced analytics with timeline and execution graph view</t>
  </si>
  <si>
    <t>Rasa</t>
  </si>
  <si>
    <t>https://rasa.com/</t>
  </si>
  <si>
    <t>Rasa GmbH</t>
  </si>
  <si>
    <t>he Rasa Platform helps teams build, test, deploy, and analyze AI assistants at scale. Whether launching your first assistant or scaling enterprise AI, Rasa is set up to adapt and grow with you.</t>
  </si>
  <si>
    <t>Repast</t>
  </si>
  <si>
    <t>https://repast.github.io/</t>
  </si>
  <si>
    <t>Argone NL</t>
  </si>
  <si>
    <t>The Repast Suite is a family of advanced, free, and open source agent-based modeling and simulation platforms that have been under continuous development for over 20 years</t>
  </si>
  <si>
    <t>Java
C++
Python</t>
  </si>
  <si>
    <t>Rivet</t>
  </si>
  <si>
    <t>https://rivet.ironcladapp.com/</t>
  </si>
  <si>
    <t>Ironcladapp</t>
  </si>
  <si>
    <t>The open-source visual AI programming environment and TypeScript library</t>
  </si>
  <si>
    <t>rusty-agent</t>
  </si>
  <si>
    <t>https://github.com/tmetsch/rusty_agent</t>
  </si>
  <si>
    <t>Remark: Potential single-developer project</t>
  </si>
  <si>
    <t>Multi-agent framework in Rust</t>
  </si>
  <si>
    <t>SuperAGI</t>
  </si>
  <si>
    <t>https://superagi.com/</t>
  </si>
  <si>
    <t>Open-source framework to build, manage and run useful Autonomous AI Agents</t>
  </si>
  <si>
    <t>IND/US</t>
  </si>
  <si>
    <t>SWE-Agent</t>
  </si>
  <si>
    <t>https://swe-agent.com/latest/</t>
  </si>
  <si>
    <t>SWE-agent takes a GitHub issue and tries to automatically fix it, using your LM of choice. It can also be employed for offensive cybersecurity or competitive coding challenges. [NeurIPS 2024]</t>
  </si>
  <si>
    <t>Tasking</t>
  </si>
  <si>
    <t>https://www.tasking.ai/</t>
  </si>
  <si>
    <t>TaskingAI</t>
  </si>
  <si>
    <t>Remark: Agent orchestration framework without code-first approach</t>
  </si>
  <si>
    <t>The open source platform for AI-native application development.</t>
  </si>
  <si>
    <t>Zapier</t>
  </si>
  <si>
    <t>https://zapier.com/</t>
  </si>
  <si>
    <t>The most connected AI orchestration platform</t>
  </si>
  <si>
    <t>*</t>
  </si>
  <si>
    <t>does it have at least a component that is open-source?</t>
  </si>
  <si>
    <t>**</t>
  </si>
  <si>
    <t>hard to say due to the limited documentation</t>
  </si>
  <si>
    <t>Term</t>
  </si>
  <si>
    <t>Definition</t>
  </si>
  <si>
    <t># of mentions in the frameworks</t>
  </si>
  <si>
    <t>IDs</t>
  </si>
  <si>
    <t>Relevance to the model</t>
  </si>
  <si>
    <t>Consistency Across Frameworks</t>
  </si>
  <si>
    <t>Importance Score</t>
  </si>
  <si>
    <t>Agent</t>
  </si>
  <si>
    <t>Tool</t>
  </si>
  <si>
    <t>Instruction</t>
  </si>
  <si>
    <t>prams(17) may be also context</t>
  </si>
  <si>
    <t>Knowledge</t>
  </si>
  <si>
    <t>1,8,18</t>
  </si>
  <si>
    <t>Reason</t>
  </si>
  <si>
    <t>Storage</t>
  </si>
  <si>
    <t>Memory</t>
  </si>
  <si>
    <t>Environment</t>
  </si>
  <si>
    <t>1,8</t>
  </si>
  <si>
    <t>external systems(1)</t>
  </si>
  <si>
    <t>Toolkit</t>
  </si>
  <si>
    <t>Human Interaction</t>
  </si>
  <si>
    <t>When human oversight and input are required during agent execution.</t>
  </si>
  <si>
    <t>1,10,11,13,16</t>
  </si>
  <si>
    <t>user control flow(1), hitl(10,11,13), human engagement(16)</t>
  </si>
  <si>
    <t>Prompt</t>
  </si>
  <si>
    <t>we decided to consider prompts as a special kind of message</t>
  </si>
  <si>
    <t>Vector DB</t>
  </si>
  <si>
    <t>Context</t>
  </si>
  <si>
    <t>1,2,9,14,19</t>
  </si>
  <si>
    <t>threads(14), model settings(19)</t>
  </si>
  <si>
    <t>Team</t>
  </si>
  <si>
    <t>Hook</t>
  </si>
  <si>
    <t>State</t>
  </si>
  <si>
    <t>The current condition or configuration of an agent, sometimes holding data.</t>
  </si>
  <si>
    <t>Model</t>
  </si>
  <si>
    <t>User</t>
  </si>
  <si>
    <t>1,2</t>
  </si>
  <si>
    <t>RAG</t>
  </si>
  <si>
    <t>Embedding</t>
  </si>
  <si>
    <t>serialization(4?)</t>
  </si>
  <si>
    <t>Workflow</t>
  </si>
  <si>
    <t>Input Schema</t>
  </si>
  <si>
    <t>Output Schema</t>
  </si>
  <si>
    <t>Specifies the structure and validation rules for the agent's output</t>
  </si>
  <si>
    <t>1,2,11,17,19</t>
  </si>
  <si>
    <t>structured output(1,17,19), response format(11)</t>
  </si>
  <si>
    <t>Prompt Template</t>
  </si>
  <si>
    <t>Requirement</t>
  </si>
  <si>
    <t>Step</t>
  </si>
  <si>
    <t>Building block of a workflow</t>
  </si>
  <si>
    <t>event(5,8,9)</t>
  </si>
  <si>
    <t>Transitions</t>
  </si>
  <si>
    <t>Goal</t>
  </si>
  <si>
    <t>5,8</t>
  </si>
  <si>
    <t>intent(5)</t>
  </si>
  <si>
    <t>File</t>
  </si>
  <si>
    <t>5,6,8,9</t>
  </si>
  <si>
    <t>loader(6), reader(8),artifacts</t>
  </si>
  <si>
    <t>Interpreter</t>
  </si>
  <si>
    <t>Rutime</t>
  </si>
  <si>
    <t>6,9,15</t>
  </si>
  <si>
    <t>integrations(15)</t>
  </si>
  <si>
    <t>Task</t>
  </si>
  <si>
    <t>A specific action or set of actions that an agent(s) is designed to perform.</t>
  </si>
  <si>
    <t>Session</t>
  </si>
  <si>
    <t>Node</t>
  </si>
  <si>
    <t>1,4,6,17,20</t>
  </si>
  <si>
    <t>1,6,12,17,18,20,21</t>
  </si>
  <si>
    <t>vector store(12,20,21)</t>
  </si>
  <si>
    <t>1,21</t>
  </si>
  <si>
    <t>plugins(21)</t>
  </si>
  <si>
    <t>in semantic kernel(21) plugins are collections that include more entities than tools</t>
  </si>
  <si>
    <t>Text Search(21)</t>
  </si>
  <si>
    <t>semantic kernel docs are incomplete for memory</t>
  </si>
  <si>
    <t>4,5,8,9,21</t>
  </si>
  <si>
    <t>4,5,21</t>
  </si>
  <si>
    <t>pattern(21)</t>
  </si>
  <si>
    <t>6,22</t>
  </si>
  <si>
    <t>code agents(22)</t>
  </si>
  <si>
    <t>for smaolagents, the code agent is designed to execute code, working as an enviroment</t>
  </si>
  <si>
    <t>1,8,18,19,21,23</t>
  </si>
  <si>
    <t>planning(8,21,23)</t>
  </si>
  <si>
    <t>1,8, 16,17,24</t>
  </si>
  <si>
    <t>configuration(16), params(17),protocols(24)</t>
  </si>
  <si>
    <t>callback(9), filter(21),handler(24)</t>
  </si>
  <si>
    <t>1,6,23</t>
  </si>
  <si>
    <t>workforce/society(6), crew(7), MAS(9),Multi-agent patterns(13), multi-agent(16), multi-agent application(19), multi-agent(22),bureau(23)</t>
  </si>
  <si>
    <t>6,7,10,12,14,18,25</t>
  </si>
  <si>
    <t>1,6,7,9,10,13,16,19,22,23,25</t>
  </si>
  <si>
    <t>1,4,5,7,9,10,11,13,17,25</t>
  </si>
  <si>
    <t>shared store(17), canvas(25)</t>
  </si>
  <si>
    <t>there is a nuance in using the upsonic canvas concept as state</t>
  </si>
  <si>
    <t>Direct LLM Call</t>
  </si>
  <si>
    <t>1,3,4,7,9,11,13,15,17,18,21,25</t>
  </si>
  <si>
    <t>chain(3),flow(7,17), process(18,21), graph(25)</t>
  </si>
  <si>
    <t>1,2,3,4,5,6,7,8,9,10,11,12,13,14,15,16,17,18,19,20,21,22,23,24,25,26</t>
  </si>
  <si>
    <t>1,2,3,4,6,7,10,11,14,16,18,21,22,23,25,26</t>
  </si>
  <si>
    <t>1,2,3,4,6,7,8,9,10,11,12,13,14,15,16,18,19,22,23,26</t>
  </si>
  <si>
    <t>1,5,6,13,15,17,18,21,26</t>
  </si>
  <si>
    <t>1,9,11,21,24,26</t>
  </si>
  <si>
    <t>1,2,4,6,19,21,22,24,26</t>
  </si>
  <si>
    <t>system prompt(2),message(4,6,24,26)</t>
  </si>
  <si>
    <t>1,2,3,4,5,6,7,8,9,12,15,16,17,18,19,20,21,25,26</t>
  </si>
  <si>
    <t>provider(2,26), llm(3,5,7,12,15,19,25),backend(4), ai client(8), llm wrapper(17), ai service conector(21)</t>
  </si>
  <si>
    <t>4,21,26</t>
  </si>
  <si>
    <t>prompt(26)</t>
  </si>
  <si>
    <t>the definition of prompt, prompt template and message can be confusing</t>
  </si>
  <si>
    <t>Frequency</t>
  </si>
  <si>
    <t>Synonyms</t>
  </si>
  <si>
    <t>Server</t>
  </si>
  <si>
    <t>adapted from the term "serve"</t>
  </si>
  <si>
    <t>An agent is an autonomous software entity that can perform tasks alone or in collaboration with other agents. Agents perceive their environment, maintain internal state, and take actions based on instructions or goals.</t>
  </si>
  <si>
    <t>A utility or service that an agent can use to perform a task. Often, they are external APIs or functions invoked by agents</t>
  </si>
  <si>
    <t>The mechanism by which an agent, a team or the user stores and retrieves information. It handles past interactions, context, and learned facts</t>
  </si>
  <si>
    <t>A model is a trained machine learning component (often a language model) that processes input and produces output. It may be pre-trained or fine-tuned for specific tasks</t>
  </si>
  <si>
    <t>Domain-specific information accessible by agents. Usually, it comes from external sources (databases, documents) beyond the agent's immediate internal state</t>
  </si>
  <si>
    <t>The agent’s process of thinking, making inferences, and making decisions based on information.</t>
  </si>
  <si>
    <t>The database used by agents to save relevant information and state between sessions.</t>
  </si>
  <si>
    <t>A prompt is an input message (often from a user or another system) that instructs the agent on what to do.</t>
  </si>
  <si>
    <t>A collection of agents using some team strategy.</t>
  </si>
  <si>
    <t>The context or setting in which agents operate. This includes external systems, data sources, users, and any aspects outside the agent’s internal model.</t>
  </si>
  <si>
    <t>The desired outcome or state that an agent aims to achieve. Goals guide agent planning and decision-making.</t>
  </si>
  <si>
    <t>A VectorDB is a specialized database for storing high-dimensional embeddings (vector representations) of data, commonly used for semantic memory or similarity search.</t>
  </si>
  <si>
    <t>A hook is an event-triggered function that allows custom actions or checks, potentially modifying tool behavior or handling errors.</t>
  </si>
  <si>
    <t>A person (or team) that directly interacts with the agent. Users are external to the agent system.</t>
  </si>
  <si>
    <t>RAG is a technique that combines retrieving relevant information from a knowledge base (often a VectorDB) with language model generation.</t>
  </si>
  <si>
    <t>A  deterministic, stateful sequence of steps to be executed by the agent or agents. A workflow defines a process or program of execution.</t>
  </si>
  <si>
    <t>Specifies the structure and validation rules for the agent's input. Schemas ensure inputs are well-formed</t>
  </si>
  <si>
    <t>A collection of elements linking a user to an agent. Session groups related interactions over a time period</t>
  </si>
  <si>
    <t>A simple and single call to the model API. A direct call may bypass any intermediate agent logic or tools.</t>
  </si>
  <si>
    <t>Instructions tell the agent how to behave and how to use its tools.</t>
  </si>
  <si>
    <t>Context is additional information provided to the agent (often via the prompt) to help situate the request.</t>
  </si>
  <si>
    <t>A prompt template is a reusable prompt structure with placeholders that can be filled in or modified.</t>
  </si>
  <si>
    <t>Defined condition or rule that control when and how tools are used by the agent</t>
  </si>
  <si>
    <t>A server hosts agent framework services, exposing APIs to clients. components built with the framework through a server to external clients.</t>
  </si>
  <si>
    <t>Standard data containers (text, audio, video, etc.) to be used for data transfers.</t>
  </si>
  <si>
    <t>An interpreter is a software component (or environment) that executes code provided by agents.</t>
  </si>
  <si>
    <t>The runtime is the context or environment in which agents (and their code) are executed.</t>
  </si>
  <si>
    <t>A high-level abstraction of any component of an agent.</t>
  </si>
  <si>
    <t>Collection of tools.</t>
  </si>
  <si>
    <t>A vector representation of a information in a smaller dimension.</t>
  </si>
  <si>
    <t>Determine the flow of execution between steps. They are conditions or triggers in the workflow.</t>
  </si>
  <si>
    <t>Notes on MDE support: BAF itself does not document direct MDE-like support, even being part of the BESSER project that is defined around MDE and low-code, so probably on their roadmap.</t>
  </si>
  <si>
    <t>Q3: Altough targeting research intensive tasks, the framework is domain-agnostic</t>
  </si>
  <si>
    <t>Remark: LMOS is an initiative broader than only agent development. For this analysis, we are considering the framework LMOS Arc and its ecosystem.
Notes on MDE support: The Kotlin SDK provides an MDE-like DSL.</t>
  </si>
  <si>
    <t>Q2: Although providing a graphical Kanban-style interface, apparently the code is fully acessible and can be changed in a code-first approach.
Notes on MDE support: We consider that the Kanban-style interface may be considered as a MDE-like support since it provides a higher level abstraction to the user similarly to a MDE way</t>
  </si>
  <si>
    <t>Notes on MDE support: LangGraph studio may be considered as MDE-like support, but it is a separate tool.</t>
  </si>
  <si>
    <t>Notes on MDE support: The framework provides a Low/No-Code option with a proprietary DSL that may have a (meta)model or grammar to be defined</t>
  </si>
  <si>
    <t>Q2: The framework does not intend to create agents using a code-first approach, rather they provide a ready-to-use instance with graphical interface for configuration</t>
  </si>
  <si>
    <t>Q5: The community support is very limited due to the experimental characteristics of the framework</t>
  </si>
  <si>
    <t>Q4: The documentation is mostly in chinese without working translation</t>
  </si>
  <si>
    <t>Q2 and Q3: The framework intends more to simulate agentic environments rather than allow general users to create their own agents with a code-first approach</t>
  </si>
  <si>
    <t>Q2: Although with SDKs provided, the framework is not a code-first approach for agent development and is maketed as a agent platform.</t>
  </si>
  <si>
    <t>Q2: The AutoGPT classic (deprecated) is code-first, but current version of the framework follows a different approach
Q5: Partially provided through the issues on main repository</t>
  </si>
  <si>
    <t>Q1: Although supported by a huge community, the framework does not provide a proper OSS license
Q4: Their documentation classifies the project as experimental and subject to change</t>
  </si>
  <si>
    <t>Notes on MDE support: They provide agent orchestration fully backed by a BPMN interpreter</t>
  </si>
  <si>
    <t>Q3: The framework looks like a prototype for a specific task (converting requirements into code)
Q4: The documentation provided online is mainly in chinese</t>
  </si>
  <si>
    <t>Q3: The framework is designed for the development of conversational interfaces inside products developed with Google products (GCP)</t>
  </si>
  <si>
    <t>Q2: The framework follows a fully visual approach and does not provide access to the code or a proper SDK.
Notes on MDE support: We consider their proposed visual language as a type of MDE-like support</t>
  </si>
  <si>
    <t>Q3: The framework is designed for the development of conversational assistants powered by IBM Watson technologies
Q5: It was not possible to identify</t>
  </si>
  <si>
    <t>Q4: The only online and acessible documentation is the README on github page, which leads to a lack of information to contribute to our aimed terminology</t>
  </si>
  <si>
    <t>Q2: Although extensible, the framework is not a code-first option. It follows a low-code approach.
Notes on MDE support: The agents are created using a graphical language that follows some patterns, even though not fully formalized</t>
  </si>
  <si>
    <t>Q2: Although an SDK is provided, the Letta purpose aims a higher level of abstraction and not a code-first approach</t>
  </si>
  <si>
    <t>Q3: The framework is designed to provide agent-based modeling for simulation and not domain-agnostic LLM-based agents.
Notes on MDE support: There are intersections between Agent-based modeling and MDE</t>
  </si>
  <si>
    <t>Q3: The framework intends to create conversational bots and not domain-agnostic agents.
Q4: The official website is offline, and the repository on GitHub has not received relevant commits in recent years. Maybe this project is deprecated
Remark: Although identified by the search queries, the repository does not mention LLMs as a first citizen concept.</t>
  </si>
  <si>
    <t>Notes on MDE support: There are intersections between  MDE and the type of modeling proposed by NetLogo</t>
  </si>
  <si>
    <t>Q2: Altough extensible, the framework is not a code-first option. It follows a low-code (configuration based) approch and it intends to complement other existent frameworks to solve complex business problems</t>
  </si>
  <si>
    <t>Q3: The framework targets conversational agents, even allowing the development of domain-agnostic experiences.</t>
  </si>
  <si>
    <t>Q2: The framework is not exactly a code-first option, even tough they provided well-documented ways to extend their tooling using a Python SDK
Notes on MDE support: They provided a graphical language as the main feature for agent development.</t>
  </si>
  <si>
    <t>Q2 and Q3: Framework for agents observability and not agent development</t>
  </si>
  <si>
    <t>Q3: The framework targets more the creation of assistants rather than agents
Notes on MDE support: They provide a graphical interface to define the assistants using an MDE-like workflow language.</t>
  </si>
  <si>
    <t>Notes on MDE support: There are intersections between Agent-based modeling and MDE</t>
  </si>
  <si>
    <t>Q2: The framework is not exactly a code-first option, and they don't provide well-documented ways to extend their tooling using an SDK
Notes on MDE support: They provided a graphical language as the main feature for agent development.</t>
  </si>
  <si>
    <t>Q2: The framework is a full-flaged product for running agents and not a code-first option
Q4: At the time of the research, their website was quite unstable
Notes on MDE support: They offer an Agent Builder module that allows users to create agents combining components using some kind of proprietary graphical language that may be classified as MDE-like support.</t>
  </si>
  <si>
    <t>Q5: Backed by OpenAI and very popular, but it does not intend to be production-ready and does not include huge community contributions nor participation initiatives.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</si>
</sst>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ont>
    <font>
      <u/>
      <sz val="11"/>
      <color theme="10"/>
      <name val="Calibri"/>
      <scheme val="minor"/>
    </font>
    <font>
      <b/>
      <sz val="11"/>
      <color theme="1"/>
      <name val="Calibri"/>
      <family val="2"/>
      <scheme val="minor"/>
    </font>
    <font>
      <b/>
      <i/>
      <sz val="11"/>
      <color theme="1"/>
      <name val="Calibri"/>
      <family val="2"/>
      <scheme val="minor"/>
    </font>
    <font>
      <sz val="9"/>
      <color rgb="FF001435"/>
      <name val="Arial"/>
      <family val="2"/>
    </font>
    <font>
      <sz val="9"/>
      <color rgb="FF0070E0"/>
      <name val="Arial"/>
      <family val="2"/>
    </font>
    <font>
      <sz val="10"/>
      <color rgb="FF1F2328"/>
      <name val="Segoe UI"/>
      <family val="2"/>
    </font>
    <font>
      <u/>
      <sz val="11"/>
      <color theme="10"/>
      <name val="Calibri"/>
      <family val="2"/>
      <scheme val="minor"/>
    </font>
    <font>
      <sz val="10"/>
      <color theme="1"/>
      <name val="Calibri"/>
      <scheme val="minor"/>
    </font>
    <font>
      <sz val="10"/>
      <color theme="1"/>
      <name val="Calibri"/>
      <family val="2"/>
      <scheme val="minor"/>
    </font>
    <font>
      <sz val="8"/>
      <name val="Calibri"/>
      <scheme val="minor"/>
    </font>
  </fonts>
  <fills count="3">
    <fill>
      <patternFill patternType="none"/>
    </fill>
    <fill>
      <patternFill patternType="gray125"/>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7" fillId="0" borderId="0" applyNumberFormat="0" applyFill="0" applyBorder="0" applyAlignment="0" applyProtection="0"/>
  </cellStyleXfs>
  <cellXfs count="62">
    <xf numFmtId="0" fontId="0" fillId="0" borderId="0" xfId="0"/>
    <xf numFmtId="0" fontId="6" fillId="0" borderId="0" xfId="0" applyFont="1"/>
    <xf numFmtId="0" fontId="0" fillId="0" borderId="0" xfId="0" applyAlignment="1">
      <alignment horizontal="center"/>
    </xf>
    <xf numFmtId="0" fontId="8" fillId="0" borderId="0" xfId="0" applyFont="1"/>
    <xf numFmtId="0" fontId="0" fillId="0" borderId="0" xfId="0" applyAlignment="1">
      <alignment wrapText="1"/>
    </xf>
    <xf numFmtId="0" fontId="9" fillId="0" borderId="1" xfId="0" applyFont="1" applyBorder="1" applyAlignment="1">
      <alignment horizontal="center"/>
    </xf>
    <xf numFmtId="0" fontId="9" fillId="0" borderId="1" xfId="0" applyFont="1" applyBorder="1" applyAlignment="1">
      <alignment horizontal="center" wrapText="1"/>
    </xf>
    <xf numFmtId="0" fontId="7" fillId="0" borderId="0" xfId="1"/>
    <xf numFmtId="0" fontId="0" fillId="0" borderId="0" xfId="0" applyAlignment="1">
      <alignment horizontal="center" vertical="center"/>
    </xf>
    <xf numFmtId="0" fontId="0" fillId="0" borderId="5" xfId="0" applyBorder="1"/>
    <xf numFmtId="0" fontId="0" fillId="0" borderId="6" xfId="0" applyBorder="1" applyAlignment="1">
      <alignment horizontal="center"/>
    </xf>
    <xf numFmtId="0" fontId="12" fillId="0" borderId="0" xfId="0" applyFont="1"/>
    <xf numFmtId="0" fontId="0" fillId="0" borderId="0" xfId="0" applyAlignment="1">
      <alignment horizontal="center" wrapText="1"/>
    </xf>
    <xf numFmtId="0" fontId="13" fillId="0" borderId="0" xfId="1" applyFont="1"/>
    <xf numFmtId="0" fontId="15" fillId="0" borderId="0" xfId="0" applyFont="1" applyAlignment="1">
      <alignment vertical="center"/>
    </xf>
    <xf numFmtId="0" fontId="14" fillId="0" borderId="0" xfId="0" applyFont="1" applyAlignment="1">
      <alignment vertical="center"/>
    </xf>
    <xf numFmtId="0" fontId="12" fillId="0" borderId="0" xfId="0" applyFont="1" applyAlignment="1">
      <alignment vertical="center" wrapText="1"/>
    </xf>
    <xf numFmtId="0" fontId="0" fillId="0" borderId="8" xfId="0" applyBorder="1"/>
    <xf numFmtId="0" fontId="0" fillId="0" borderId="8" xfId="0" applyBorder="1" applyAlignment="1">
      <alignment horizontal="center" vertical="center"/>
    </xf>
    <xf numFmtId="0" fontId="8" fillId="0" borderId="1" xfId="0" applyFont="1" applyBorder="1"/>
    <xf numFmtId="0" fontId="7" fillId="0" borderId="3" xfId="1" applyBorder="1"/>
    <xf numFmtId="0" fontId="0" fillId="0" borderId="3" xfId="0" applyBorder="1" applyAlignment="1">
      <alignment wrapText="1"/>
    </xf>
    <xf numFmtId="0" fontId="0" fillId="0" borderId="3" xfId="0" applyBorder="1"/>
    <xf numFmtId="0" fontId="5" fillId="0" borderId="0" xfId="0" applyFont="1"/>
    <xf numFmtId="0" fontId="5" fillId="0" borderId="5" xfId="0" applyFont="1" applyBorder="1"/>
    <xf numFmtId="0" fontId="5" fillId="0" borderId="0" xfId="0" applyFont="1" applyAlignment="1">
      <alignment horizontal="center" vertical="center"/>
    </xf>
    <xf numFmtId="0" fontId="5" fillId="0" borderId="0" xfId="0" applyFont="1" applyAlignment="1">
      <alignment wrapText="1"/>
    </xf>
    <xf numFmtId="0" fontId="5" fillId="0" borderId="2" xfId="0" applyFont="1" applyBorder="1"/>
    <xf numFmtId="0" fontId="5" fillId="0" borderId="3" xfId="0" applyFont="1" applyBorder="1"/>
    <xf numFmtId="0" fontId="5" fillId="0" borderId="3" xfId="0" applyFont="1" applyBorder="1" applyAlignment="1">
      <alignment horizontal="center" vertical="center"/>
    </xf>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5" fillId="0" borderId="6" xfId="0" applyFont="1" applyBorder="1" applyAlignment="1">
      <alignment horizontal="center"/>
    </xf>
    <xf numFmtId="0" fontId="5" fillId="0" borderId="0" xfId="0" applyFont="1" applyAlignment="1">
      <alignment horizontal="center" wrapText="1"/>
    </xf>
    <xf numFmtId="0" fontId="5" fillId="0" borderId="6" xfId="0" applyFont="1" applyBorder="1" applyAlignment="1">
      <alignment horizontal="center" wrapText="1"/>
    </xf>
    <xf numFmtId="0" fontId="5" fillId="0" borderId="7" xfId="0" applyFont="1" applyBorder="1"/>
    <xf numFmtId="0" fontId="5" fillId="0" borderId="8" xfId="0" applyFont="1" applyBorder="1"/>
    <xf numFmtId="0" fontId="5" fillId="0" borderId="8" xfId="0" applyFont="1" applyBorder="1" applyAlignment="1">
      <alignment horizontal="center" vertical="center"/>
    </xf>
    <xf numFmtId="0" fontId="5" fillId="0" borderId="8" xfId="0" applyFont="1" applyBorder="1" applyAlignment="1">
      <alignment horizontal="center"/>
    </xf>
    <xf numFmtId="0" fontId="5" fillId="0" borderId="9" xfId="0" applyFont="1" applyBorder="1" applyAlignment="1">
      <alignment horizontal="center"/>
    </xf>
    <xf numFmtId="0" fontId="5" fillId="0" borderId="1" xfId="0" applyFont="1" applyBorder="1"/>
    <xf numFmtId="0" fontId="4" fillId="0" borderId="0" xfId="0" applyFont="1" applyAlignment="1">
      <alignment horizontal="center" vertical="center"/>
    </xf>
    <xf numFmtId="0" fontId="3" fillId="0" borderId="0" xfId="0" applyFont="1"/>
    <xf numFmtId="0" fontId="3" fillId="0" borderId="0" xfId="0" applyFont="1" applyAlignment="1">
      <alignment wrapText="1"/>
    </xf>
    <xf numFmtId="1" fontId="0" fillId="2" borderId="10" xfId="0" applyNumberFormat="1" applyFill="1" applyBorder="1" applyAlignment="1">
      <alignment horizontal="center"/>
    </xf>
    <xf numFmtId="1" fontId="0" fillId="0" borderId="10" xfId="0" applyNumberFormat="1" applyBorder="1" applyAlignment="1">
      <alignment horizontal="center"/>
    </xf>
    <xf numFmtId="1" fontId="0" fillId="0" borderId="11" xfId="0" applyNumberFormat="1" applyBorder="1" applyAlignment="1">
      <alignment horizontal="center"/>
    </xf>
    <xf numFmtId="0" fontId="4" fillId="0" borderId="3" xfId="0" applyFont="1" applyBorder="1" applyAlignment="1">
      <alignment wrapText="1"/>
    </xf>
    <xf numFmtId="0" fontId="0" fillId="0" borderId="0" xfId="0" applyBorder="1"/>
    <xf numFmtId="0" fontId="4" fillId="0" borderId="0" xfId="0" applyFont="1" applyBorder="1" applyAlignment="1">
      <alignment wrapText="1"/>
    </xf>
    <xf numFmtId="0" fontId="0" fillId="0" borderId="0" xfId="0" applyBorder="1" applyAlignment="1">
      <alignment wrapText="1"/>
    </xf>
    <xf numFmtId="0" fontId="5" fillId="0" borderId="0" xfId="0" applyFont="1" applyBorder="1" applyAlignment="1">
      <alignment wrapText="1"/>
    </xf>
    <xf numFmtId="0" fontId="9" fillId="0" borderId="12" xfId="0" applyFont="1" applyBorder="1"/>
    <xf numFmtId="0" fontId="9" fillId="0" borderId="10" xfId="0" applyFont="1" applyBorder="1"/>
    <xf numFmtId="0" fontId="0" fillId="0" borderId="4" xfId="0" applyBorder="1" applyAlignment="1">
      <alignment wrapText="1"/>
    </xf>
    <xf numFmtId="0" fontId="0" fillId="0" borderId="6" xfId="0" applyBorder="1" applyAlignment="1">
      <alignment wrapText="1"/>
    </xf>
    <xf numFmtId="0" fontId="5" fillId="0" borderId="6" xfId="0" applyFont="1" applyBorder="1" applyAlignment="1">
      <alignment wrapText="1"/>
    </xf>
    <xf numFmtId="0" fontId="3" fillId="0" borderId="6" xfId="0" applyFont="1" applyBorder="1" applyAlignment="1">
      <alignment wrapText="1"/>
    </xf>
    <xf numFmtId="0" fontId="2" fillId="0" borderId="0" xfId="0" applyFont="1" applyBorder="1" applyAlignment="1">
      <alignment wrapText="1"/>
    </xf>
    <xf numFmtId="0" fontId="1" fillId="0" borderId="3" xfId="0" applyFont="1" applyBorder="1" applyAlignment="1">
      <alignment wrapText="1"/>
    </xf>
    <xf numFmtId="0" fontId="1" fillId="0" borderId="0" xfId="0" applyFont="1" applyBorder="1" applyAlignment="1">
      <alignment wrapText="1"/>
    </xf>
  </cellXfs>
  <cellStyles count="2">
    <cellStyle name="Lien hypertexte" xfId="1" builtinId="8"/>
    <cellStyle name="Normal" xfId="0" builtinId="0"/>
  </cellStyles>
  <dxfs count="3">
    <dxf>
      <fill>
        <patternFill>
          <bgColor theme="9" tint="0.79998168889431442"/>
        </patternFill>
      </fill>
    </dxf>
    <dxf>
      <fill>
        <patternFill>
          <bgColor theme="5" tint="0.59996337778862885"/>
        </patternFill>
      </fill>
    </dxf>
    <dxf>
      <fill>
        <patternFill patternType="solid">
          <fgColor rgb="FFE2EFDA"/>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reworkd/AgentGPT" TargetMode="External"/><Relationship Id="rId18" Type="http://schemas.openxmlformats.org/officeDocument/2006/relationships/hyperlink" Target="https://superagi.com/" TargetMode="External"/><Relationship Id="rId26" Type="http://schemas.openxmlformats.org/officeDocument/2006/relationships/hyperlink" Target="https://www.kaibanjs.com/" TargetMode="External"/><Relationship Id="rId39" Type="http://schemas.openxmlformats.org/officeDocument/2006/relationships/hyperlink" Target="https://framework.beeai.dev/" TargetMode="External"/><Relationship Id="rId21" Type="http://schemas.openxmlformats.org/officeDocument/2006/relationships/hyperlink" Target="https://github.com/OpenBMB/AgentVerse" TargetMode="External"/><Relationship Id="rId34" Type="http://schemas.openxmlformats.org/officeDocument/2006/relationships/hyperlink" Target="https://www.letta.com/" TargetMode="External"/><Relationship Id="rId42" Type="http://schemas.openxmlformats.org/officeDocument/2006/relationships/hyperlink" Target="https://github.com/0xPlaygrounds/rig" TargetMode="External"/><Relationship Id="rId47" Type="http://schemas.openxmlformats.org/officeDocument/2006/relationships/hyperlink" Target="https://babyagi.org/" TargetMode="External"/><Relationship Id="rId50" Type="http://schemas.openxmlformats.org/officeDocument/2006/relationships/hyperlink" Target="https://cloud.google.com/dialogflow/docs" TargetMode="External"/><Relationship Id="rId55" Type="http://schemas.openxmlformats.org/officeDocument/2006/relationships/hyperlink" Target="https://github.com/SalesforceAIResearch/AgentLite" TargetMode="External"/><Relationship Id="rId7" Type="http://schemas.openxmlformats.org/officeDocument/2006/relationships/hyperlink" Target="https://docs.deepwisdom.ai/main/en/" TargetMode="External"/><Relationship Id="rId2" Type="http://schemas.openxmlformats.org/officeDocument/2006/relationships/hyperlink" Target="https://www.crewai.com/open-source" TargetMode="External"/><Relationship Id="rId16" Type="http://schemas.openxmlformats.org/officeDocument/2006/relationships/hyperlink" Target="https://developer.paypal.com/tools/agent-toolkit/" TargetMode="External"/><Relationship Id="rId29" Type="http://schemas.openxmlformats.org/officeDocument/2006/relationships/hyperlink" Target="https://github.com/eclipse-hara" TargetMode="External"/><Relationship Id="rId11" Type="http://schemas.openxmlformats.org/officeDocument/2006/relationships/hyperlink" Target="https://google.github.io/adk-docs/" TargetMode="External"/><Relationship Id="rId24" Type="http://schemas.openxmlformats.org/officeDocument/2006/relationships/hyperlink" Target="https://github.com/raga-ai-hub/RagaAI-Catalyst" TargetMode="External"/><Relationship Id="rId32" Type="http://schemas.openxmlformats.org/officeDocument/2006/relationships/hyperlink" Target="https://autochain.forethought.ai/" TargetMode="External"/><Relationship Id="rId37" Type="http://schemas.openxmlformats.org/officeDocument/2006/relationships/hyperlink" Target="https://dify.ai/" TargetMode="External"/><Relationship Id="rId40" Type="http://schemas.openxmlformats.org/officeDocument/2006/relationships/hyperlink" Target="https://openbmb.github.io/IoA/" TargetMode="External"/><Relationship Id="rId45" Type="http://schemas.openxmlformats.org/officeDocument/2006/relationships/hyperlink" Target="https://langroid.github.io/langroid/" TargetMode="External"/><Relationship Id="rId53" Type="http://schemas.openxmlformats.org/officeDocument/2006/relationships/hyperlink" Target="https://ccl.northwestern.edu/netlogo/" TargetMode="External"/><Relationship Id="rId58" Type="http://schemas.openxmlformats.org/officeDocument/2006/relationships/hyperlink" Target="https://www.pyspur.dev/" TargetMode="External"/><Relationship Id="rId5" Type="http://schemas.openxmlformats.org/officeDocument/2006/relationships/hyperlink" Target="https://github.com/huggingface/smolagents" TargetMode="External"/><Relationship Id="rId61" Type="http://schemas.openxmlformats.org/officeDocument/2006/relationships/hyperlink" Target="https://mastra.ai/" TargetMode="External"/><Relationship Id="rId19" Type="http://schemas.openxmlformats.org/officeDocument/2006/relationships/hyperlink" Target="https://docs.upsonic.ai/" TargetMode="External"/><Relationship Id="rId14" Type="http://schemas.openxmlformats.org/officeDocument/2006/relationships/hyperlink" Target="https://www.salesforce.com/eu/agentforce/" TargetMode="External"/><Relationship Id="rId22" Type="http://schemas.openxmlformats.org/officeDocument/2006/relationships/hyperlink" Target="https://github.com/InternLM/lagent" TargetMode="External"/><Relationship Id="rId27" Type="http://schemas.openxmlformats.org/officeDocument/2006/relationships/hyperlink" Target="https://jade.tilab.com/" TargetMode="External"/><Relationship Id="rId30" Type="http://schemas.openxmlformats.org/officeDocument/2006/relationships/hyperlink" Target="https://ai.pydantic.dev/" TargetMode="External"/><Relationship Id="rId35" Type="http://schemas.openxmlformats.org/officeDocument/2006/relationships/hyperlink" Target="https://github.com/fetchai/uAgents" TargetMode="External"/><Relationship Id="rId43" Type="http://schemas.openxmlformats.org/officeDocument/2006/relationships/hyperlink" Target="https://github.com/elizaOS/eliza" TargetMode="External"/><Relationship Id="rId48" Type="http://schemas.openxmlformats.org/officeDocument/2006/relationships/hyperlink" Target="https://github.com/microsoft/botframework-sdk" TargetMode="External"/><Relationship Id="rId56" Type="http://schemas.openxmlformats.org/officeDocument/2006/relationships/hyperlink" Target="https://the-pocket.github.io/PocketFlow/" TargetMode="External"/><Relationship Id="rId8" Type="http://schemas.openxmlformats.org/officeDocument/2006/relationships/hyperlink" Target="https://www.camel-ai.org/" TargetMode="External"/><Relationship Id="rId51" Type="http://schemas.openxmlformats.org/officeDocument/2006/relationships/hyperlink" Target="https://www.ibm.com/products/watsonx-assistant" TargetMode="External"/><Relationship Id="rId3" Type="http://schemas.openxmlformats.org/officeDocument/2006/relationships/hyperlink" Target="https://www.langflow.org/" TargetMode="External"/><Relationship Id="rId12" Type="http://schemas.openxmlformats.org/officeDocument/2006/relationships/hyperlink" Target="https://marvin.mintlify.app/welcome" TargetMode="External"/><Relationship Id="rId17" Type="http://schemas.openxmlformats.org/officeDocument/2006/relationships/hyperlink" Target="https://aws.amazon.com/bedrock/agents/" TargetMode="External"/><Relationship Id="rId25" Type="http://schemas.openxmlformats.org/officeDocument/2006/relationships/hyperlink" Target="https://github.com/kuafuai/DevOpsGPT" TargetMode="External"/><Relationship Id="rId33" Type="http://schemas.openxmlformats.org/officeDocument/2006/relationships/hyperlink" Target="https://github.com/eumemic/ai-legion" TargetMode="External"/><Relationship Id="rId38" Type="http://schemas.openxmlformats.org/officeDocument/2006/relationships/hyperlink" Target="https://www.tasking.ai/" TargetMode="External"/><Relationship Id="rId46" Type="http://schemas.openxmlformats.org/officeDocument/2006/relationships/hyperlink" Target="https://github.com/FoundationAgents/OpenManus" TargetMode="External"/><Relationship Id="rId59" Type="http://schemas.openxmlformats.org/officeDocument/2006/relationships/hyperlink" Target="https://github.com/openai/swarm" TargetMode="External"/><Relationship Id="rId20" Type="http://schemas.openxmlformats.org/officeDocument/2006/relationships/hyperlink" Target="https://voltagent.dev/" TargetMode="External"/><Relationship Id="rId41" Type="http://schemas.openxmlformats.org/officeDocument/2006/relationships/hyperlink" Target="https://www.parlant.io/" TargetMode="External"/><Relationship Id="rId54" Type="http://schemas.openxmlformats.org/officeDocument/2006/relationships/hyperlink" Target="https://repast.github.io/" TargetMode="External"/><Relationship Id="rId62" Type="http://schemas.openxmlformats.org/officeDocument/2006/relationships/printerSettings" Target="../printerSettings/printerSettings1.bin"/><Relationship Id="rId1" Type="http://schemas.openxmlformats.org/officeDocument/2006/relationships/hyperlink" Target="https://www.langchain.com/langgraph" TargetMode="External"/><Relationship Id="rId6" Type="http://schemas.openxmlformats.org/officeDocument/2006/relationships/hyperlink" Target="https://www.llamaindex.ai/" TargetMode="External"/><Relationship Id="rId15" Type="http://schemas.openxmlformats.org/officeDocument/2006/relationships/hyperlink" Target="https://camunda.com/" TargetMode="External"/><Relationship Id="rId23" Type="http://schemas.openxmlformats.org/officeDocument/2006/relationships/hyperlink" Target="https://www.agno.com/" TargetMode="External"/><Relationship Id="rId28" Type="http://schemas.openxmlformats.org/officeDocument/2006/relationships/hyperlink" Target="https://eclipse.dev/lmos/" TargetMode="External"/><Relationship Id="rId36" Type="http://schemas.openxmlformats.org/officeDocument/2006/relationships/hyperlink" Target="https://everything.software/" TargetMode="External"/><Relationship Id="rId49" Type="http://schemas.openxmlformats.org/officeDocument/2006/relationships/hyperlink" Target="https://rasa.com/" TargetMode="External"/><Relationship Id="rId57" Type="http://schemas.openxmlformats.org/officeDocument/2006/relationships/hyperlink" Target="https://docs.praison.ai/docs/index" TargetMode="External"/><Relationship Id="rId10" Type="http://schemas.openxmlformats.org/officeDocument/2006/relationships/hyperlink" Target="https://learn.microsoft.com/en-us/semantic-kernel/overview/" TargetMode="External"/><Relationship Id="rId31" Type="http://schemas.openxmlformats.org/officeDocument/2006/relationships/hyperlink" Target="https://github.com/BrainBlend-AI/atomic-agents" TargetMode="External"/><Relationship Id="rId44" Type="http://schemas.openxmlformats.org/officeDocument/2006/relationships/hyperlink" Target="https://flowiseai.com/" TargetMode="External"/><Relationship Id="rId52" Type="http://schemas.openxmlformats.org/officeDocument/2006/relationships/hyperlink" Target="https://mesa.readthedocs.io/" TargetMode="External"/><Relationship Id="rId60" Type="http://schemas.openxmlformats.org/officeDocument/2006/relationships/hyperlink" Target="https://github.com/The-Swarm-Corporation/swarms-rs" TargetMode="External"/><Relationship Id="rId4" Type="http://schemas.openxmlformats.org/officeDocument/2006/relationships/hyperlink" Target="https://agpt.co/" TargetMode="External"/><Relationship Id="rId9" Type="http://schemas.openxmlformats.org/officeDocument/2006/relationships/hyperlink" Target="https://besser-agentic-framework.readthedocs.io/latest/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B514-7A20-44DF-A78F-AA323E0E5083}">
  <dimension ref="A1:P95"/>
  <sheetViews>
    <sheetView topLeftCell="D1" workbookViewId="0">
      <pane ySplit="1" topLeftCell="A20" activePane="bottomLeft" state="frozen"/>
      <selection pane="bottomLeft" activeCell="K9" sqref="K9"/>
    </sheetView>
  </sheetViews>
  <sheetFormatPr baseColWidth="10" defaultColWidth="11.44140625" defaultRowHeight="14.4" x14ac:dyDescent="0.3"/>
  <cols>
    <col min="1" max="1" width="11.5546875"/>
    <col min="2" max="2" width="37.6640625" bestFit="1" customWidth="1"/>
    <col min="3" max="3" width="57.109375" bestFit="1" customWidth="1"/>
    <col min="4" max="4" width="25.33203125" customWidth="1"/>
    <col min="11" max="11" width="72.33203125" style="4" customWidth="1"/>
    <col min="13" max="13" width="95.44140625" customWidth="1"/>
    <col min="14" max="14" width="35" style="2" customWidth="1"/>
    <col min="15" max="16" width="11.5546875" style="2"/>
  </cols>
  <sheetData>
    <row r="1" spans="1:16" ht="43.2" x14ac:dyDescent="0.3">
      <c r="A1" s="5" t="s">
        <v>0</v>
      </c>
      <c r="B1" s="5" t="s">
        <v>1</v>
      </c>
      <c r="C1" s="5" t="s">
        <v>2</v>
      </c>
      <c r="D1" s="6" t="s">
        <v>3</v>
      </c>
      <c r="E1" s="5" t="s">
        <v>4</v>
      </c>
      <c r="F1" s="5" t="s">
        <v>5</v>
      </c>
      <c r="G1" s="5" t="s">
        <v>6</v>
      </c>
      <c r="H1" s="5" t="s">
        <v>7</v>
      </c>
      <c r="I1" s="5" t="s">
        <v>8</v>
      </c>
      <c r="J1" s="5" t="s">
        <v>9</v>
      </c>
      <c r="K1" s="6" t="s">
        <v>10</v>
      </c>
      <c r="L1" s="5" t="s">
        <v>11</v>
      </c>
      <c r="M1" s="5" t="s">
        <v>12</v>
      </c>
      <c r="N1" s="5" t="s">
        <v>13</v>
      </c>
      <c r="O1" s="5" t="s">
        <v>14</v>
      </c>
      <c r="P1" s="5" t="s">
        <v>15</v>
      </c>
    </row>
    <row r="2" spans="1:16" x14ac:dyDescent="0.3">
      <c r="A2" s="45">
        <v>1</v>
      </c>
      <c r="B2" s="27" t="s">
        <v>16</v>
      </c>
      <c r="C2" s="20" t="s">
        <v>17</v>
      </c>
      <c r="D2" s="28" t="s">
        <v>18</v>
      </c>
      <c r="E2" s="29" t="s">
        <v>19</v>
      </c>
      <c r="F2" s="29" t="s">
        <v>19</v>
      </c>
      <c r="G2" s="29" t="s">
        <v>19</v>
      </c>
      <c r="H2" s="29" t="s">
        <v>19</v>
      </c>
      <c r="I2" s="29" t="s">
        <v>19</v>
      </c>
      <c r="J2" s="29" t="s">
        <v>20</v>
      </c>
      <c r="K2"/>
      <c r="L2" s="29" t="s">
        <v>21</v>
      </c>
      <c r="M2" s="22" t="s">
        <v>22</v>
      </c>
      <c r="N2" s="30" t="s">
        <v>23</v>
      </c>
      <c r="O2" s="30" t="s">
        <v>24</v>
      </c>
      <c r="P2" s="31" t="s">
        <v>25</v>
      </c>
    </row>
    <row r="3" spans="1:16" x14ac:dyDescent="0.3">
      <c r="A3" s="45">
        <v>2</v>
      </c>
      <c r="B3" s="9" t="s">
        <v>26</v>
      </c>
      <c r="C3" s="7" t="s">
        <v>27</v>
      </c>
      <c r="D3" s="23" t="s">
        <v>28</v>
      </c>
      <c r="E3" s="25" t="s">
        <v>19</v>
      </c>
      <c r="F3" s="25" t="s">
        <v>19</v>
      </c>
      <c r="G3" s="25" t="s">
        <v>19</v>
      </c>
      <c r="H3" s="25" t="s">
        <v>19</v>
      </c>
      <c r="I3" s="25" t="s">
        <v>19</v>
      </c>
      <c r="J3" s="25" t="s">
        <v>20</v>
      </c>
      <c r="K3"/>
      <c r="L3" s="25" t="s">
        <v>21</v>
      </c>
      <c r="M3" t="s">
        <v>29</v>
      </c>
      <c r="N3" s="32" t="s">
        <v>23</v>
      </c>
      <c r="O3" s="32" t="s">
        <v>30</v>
      </c>
      <c r="P3" s="33" t="s">
        <v>31</v>
      </c>
    </row>
    <row r="4" spans="1:16" x14ac:dyDescent="0.3">
      <c r="A4" s="45">
        <v>3</v>
      </c>
      <c r="B4" s="9" t="s">
        <v>32</v>
      </c>
      <c r="C4" s="7" t="s">
        <v>33</v>
      </c>
      <c r="D4" t="s">
        <v>34</v>
      </c>
      <c r="E4" s="25" t="s">
        <v>19</v>
      </c>
      <c r="F4" s="25" t="s">
        <v>19</v>
      </c>
      <c r="G4" s="25" t="s">
        <v>19</v>
      </c>
      <c r="H4" s="25" t="s">
        <v>19</v>
      </c>
      <c r="I4" s="25" t="s">
        <v>19</v>
      </c>
      <c r="J4" s="25" t="s">
        <v>20</v>
      </c>
      <c r="K4"/>
      <c r="L4" s="25" t="s">
        <v>21</v>
      </c>
      <c r="M4" t="s">
        <v>35</v>
      </c>
      <c r="N4" s="32" t="s">
        <v>23</v>
      </c>
      <c r="O4" s="32" t="s">
        <v>30</v>
      </c>
      <c r="P4" s="33" t="s">
        <v>36</v>
      </c>
    </row>
    <row r="5" spans="1:16" ht="28.8" x14ac:dyDescent="0.3">
      <c r="A5" s="45">
        <v>4</v>
      </c>
      <c r="B5" s="9" t="s">
        <v>37</v>
      </c>
      <c r="C5" s="7" t="s">
        <v>38</v>
      </c>
      <c r="D5" s="23" t="s">
        <v>39</v>
      </c>
      <c r="E5" s="25" t="s">
        <v>19</v>
      </c>
      <c r="F5" s="25" t="s">
        <v>19</v>
      </c>
      <c r="G5" s="25" t="s">
        <v>19</v>
      </c>
      <c r="H5" s="25" t="s">
        <v>19</v>
      </c>
      <c r="I5" s="25" t="s">
        <v>19</v>
      </c>
      <c r="J5" s="25" t="s">
        <v>20</v>
      </c>
      <c r="K5"/>
      <c r="L5" s="25" t="s">
        <v>21</v>
      </c>
      <c r="M5" t="s">
        <v>40</v>
      </c>
      <c r="N5" s="34" t="s">
        <v>41</v>
      </c>
      <c r="O5" s="32" t="s">
        <v>42</v>
      </c>
      <c r="P5" s="33" t="s">
        <v>36</v>
      </c>
    </row>
    <row r="6" spans="1:16" x14ac:dyDescent="0.3">
      <c r="A6" s="45">
        <v>5</v>
      </c>
      <c r="B6" s="24" t="s">
        <v>43</v>
      </c>
      <c r="C6" s="7" t="s">
        <v>44</v>
      </c>
      <c r="D6" t="s">
        <v>18</v>
      </c>
      <c r="E6" s="25" t="s">
        <v>19</v>
      </c>
      <c r="F6" s="25" t="s">
        <v>19</v>
      </c>
      <c r="G6" s="25" t="s">
        <v>19</v>
      </c>
      <c r="H6" s="25" t="s">
        <v>19</v>
      </c>
      <c r="I6" s="25" t="s">
        <v>19</v>
      </c>
      <c r="J6" s="25" t="s">
        <v>20</v>
      </c>
      <c r="K6" t="s">
        <v>493</v>
      </c>
      <c r="L6" s="25" t="s">
        <v>21</v>
      </c>
      <c r="M6" t="s">
        <v>45</v>
      </c>
      <c r="N6" s="32" t="s">
        <v>23</v>
      </c>
      <c r="O6" s="32" t="s">
        <v>30</v>
      </c>
      <c r="P6" s="33" t="s">
        <v>46</v>
      </c>
    </row>
    <row r="7" spans="1:16" x14ac:dyDescent="0.3">
      <c r="A7" s="45">
        <v>6</v>
      </c>
      <c r="B7" s="9" t="s">
        <v>47</v>
      </c>
      <c r="C7" s="7" t="s">
        <v>48</v>
      </c>
      <c r="D7" s="23" t="s">
        <v>49</v>
      </c>
      <c r="E7" s="25" t="s">
        <v>19</v>
      </c>
      <c r="F7" s="25" t="s">
        <v>19</v>
      </c>
      <c r="G7" s="25" t="s">
        <v>19</v>
      </c>
      <c r="H7" s="25" t="s">
        <v>19</v>
      </c>
      <c r="I7" s="25" t="s">
        <v>19</v>
      </c>
      <c r="J7" s="25" t="s">
        <v>20</v>
      </c>
      <c r="K7" t="s">
        <v>494</v>
      </c>
      <c r="L7" s="25" t="s">
        <v>21</v>
      </c>
      <c r="M7" t="s">
        <v>50</v>
      </c>
      <c r="N7" s="32" t="s">
        <v>23</v>
      </c>
      <c r="O7" s="32" t="s">
        <v>42</v>
      </c>
      <c r="P7" s="33" t="s">
        <v>51</v>
      </c>
    </row>
    <row r="8" spans="1:16" x14ac:dyDescent="0.3">
      <c r="A8" s="45">
        <v>7</v>
      </c>
      <c r="B8" s="9" t="s">
        <v>52</v>
      </c>
      <c r="C8" s="1" t="s">
        <v>53</v>
      </c>
      <c r="D8" s="23" t="s">
        <v>54</v>
      </c>
      <c r="E8" s="25" t="s">
        <v>19</v>
      </c>
      <c r="F8" s="25" t="s">
        <v>19</v>
      </c>
      <c r="G8" s="25" t="s">
        <v>19</v>
      </c>
      <c r="H8" s="25" t="s">
        <v>19</v>
      </c>
      <c r="I8" s="25" t="s">
        <v>19</v>
      </c>
      <c r="J8" s="25" t="s">
        <v>20</v>
      </c>
      <c r="K8"/>
      <c r="L8" s="25" t="s">
        <v>21</v>
      </c>
      <c r="M8" t="s">
        <v>55</v>
      </c>
      <c r="N8" s="32" t="s">
        <v>23</v>
      </c>
      <c r="O8" s="32" t="s">
        <v>30</v>
      </c>
      <c r="P8" s="33" t="s">
        <v>36</v>
      </c>
    </row>
    <row r="9" spans="1:16" ht="43.2" x14ac:dyDescent="0.3">
      <c r="A9" s="45">
        <v>8</v>
      </c>
      <c r="B9" s="24" t="s">
        <v>56</v>
      </c>
      <c r="C9" s="7" t="s">
        <v>57</v>
      </c>
      <c r="D9" s="23" t="s">
        <v>18</v>
      </c>
      <c r="E9" s="25" t="s">
        <v>19</v>
      </c>
      <c r="F9" s="25" t="s">
        <v>19</v>
      </c>
      <c r="G9" s="25" t="s">
        <v>19</v>
      </c>
      <c r="H9" s="25" t="s">
        <v>19</v>
      </c>
      <c r="I9" s="25" t="s">
        <v>19</v>
      </c>
      <c r="J9" s="25" t="s">
        <v>19</v>
      </c>
      <c r="K9" s="4" t="s">
        <v>495</v>
      </c>
      <c r="L9" s="25" t="s">
        <v>21</v>
      </c>
      <c r="M9" t="s">
        <v>58</v>
      </c>
      <c r="N9" s="34" t="s">
        <v>59</v>
      </c>
      <c r="O9" s="34" t="s">
        <v>60</v>
      </c>
      <c r="P9" s="33" t="s">
        <v>61</v>
      </c>
    </row>
    <row r="10" spans="1:16" ht="28.8" x14ac:dyDescent="0.3">
      <c r="A10" s="45">
        <v>9</v>
      </c>
      <c r="B10" s="9" t="s">
        <v>62</v>
      </c>
      <c r="C10" s="7" t="s">
        <v>63</v>
      </c>
      <c r="D10" s="23" t="s">
        <v>64</v>
      </c>
      <c r="E10" s="25" t="s">
        <v>19</v>
      </c>
      <c r="F10" s="25" t="s">
        <v>19</v>
      </c>
      <c r="G10" s="25" t="s">
        <v>19</v>
      </c>
      <c r="H10" s="25" t="s">
        <v>19</v>
      </c>
      <c r="I10" s="25" t="s">
        <v>19</v>
      </c>
      <c r="J10" s="25" t="s">
        <v>20</v>
      </c>
      <c r="K10"/>
      <c r="L10" s="25" t="s">
        <v>21</v>
      </c>
      <c r="M10" t="s">
        <v>65</v>
      </c>
      <c r="N10" s="34" t="s">
        <v>66</v>
      </c>
      <c r="O10" s="32" t="s">
        <v>42</v>
      </c>
      <c r="P10" s="33" t="s">
        <v>36</v>
      </c>
    </row>
    <row r="11" spans="1:16" ht="72" x14ac:dyDescent="0.3">
      <c r="A11" s="45">
        <v>10</v>
      </c>
      <c r="B11" s="24" t="s">
        <v>67</v>
      </c>
      <c r="C11" s="7" t="s">
        <v>68</v>
      </c>
      <c r="D11" s="23" t="s">
        <v>67</v>
      </c>
      <c r="E11" s="25" t="s">
        <v>19</v>
      </c>
      <c r="F11" s="25" t="s">
        <v>19</v>
      </c>
      <c r="G11" s="25" t="s">
        <v>19</v>
      </c>
      <c r="H11" s="25" t="s">
        <v>19</v>
      </c>
      <c r="I11" s="25" t="s">
        <v>19</v>
      </c>
      <c r="J11" s="25" t="s">
        <v>19</v>
      </c>
      <c r="K11" s="4" t="s">
        <v>496</v>
      </c>
      <c r="L11" s="25" t="s">
        <v>21</v>
      </c>
      <c r="M11" t="s">
        <v>69</v>
      </c>
      <c r="N11" s="32" t="s">
        <v>70</v>
      </c>
      <c r="O11" s="32" t="s">
        <v>30</v>
      </c>
      <c r="P11" s="33" t="s">
        <v>36</v>
      </c>
    </row>
    <row r="12" spans="1:16" ht="28.8" x14ac:dyDescent="0.3">
      <c r="A12" s="45">
        <v>11</v>
      </c>
      <c r="B12" s="9" t="s">
        <v>71</v>
      </c>
      <c r="C12" s="1" t="s">
        <v>72</v>
      </c>
      <c r="D12" s="23" t="s">
        <v>73</v>
      </c>
      <c r="E12" s="25" t="s">
        <v>19</v>
      </c>
      <c r="F12" s="25" t="s">
        <v>19</v>
      </c>
      <c r="G12" s="25" t="s">
        <v>19</v>
      </c>
      <c r="H12" s="25" t="s">
        <v>19</v>
      </c>
      <c r="I12" s="25" t="s">
        <v>19</v>
      </c>
      <c r="J12" s="25" t="s">
        <v>20</v>
      </c>
      <c r="K12" t="s">
        <v>497</v>
      </c>
      <c r="L12" s="32" t="s">
        <v>21</v>
      </c>
      <c r="M12" s="26" t="s">
        <v>74</v>
      </c>
      <c r="N12" s="34" t="s">
        <v>75</v>
      </c>
      <c r="O12" s="32" t="s">
        <v>76</v>
      </c>
      <c r="P12" s="35" t="s">
        <v>36</v>
      </c>
    </row>
    <row r="13" spans="1:16" x14ac:dyDescent="0.3">
      <c r="A13" s="45">
        <v>12</v>
      </c>
      <c r="B13" s="9" t="s">
        <v>77</v>
      </c>
      <c r="C13" s="7" t="s">
        <v>78</v>
      </c>
      <c r="D13" s="23" t="s">
        <v>18</v>
      </c>
      <c r="E13" s="8" t="s">
        <v>19</v>
      </c>
      <c r="F13" s="8" t="s">
        <v>19</v>
      </c>
      <c r="G13" s="8" t="s">
        <v>19</v>
      </c>
      <c r="H13" s="8" t="s">
        <v>19</v>
      </c>
      <c r="I13" s="8" t="s">
        <v>19</v>
      </c>
      <c r="J13" s="8" t="s">
        <v>20</v>
      </c>
      <c r="K13"/>
      <c r="L13" s="25" t="s">
        <v>21</v>
      </c>
      <c r="M13" t="s">
        <v>79</v>
      </c>
      <c r="N13" s="2" t="s">
        <v>23</v>
      </c>
      <c r="O13" s="2" t="s">
        <v>30</v>
      </c>
      <c r="P13" s="10" t="s">
        <v>36</v>
      </c>
    </row>
    <row r="14" spans="1:16" ht="28.8" x14ac:dyDescent="0.3">
      <c r="A14" s="45">
        <v>13</v>
      </c>
      <c r="B14" s="24" t="s">
        <v>85</v>
      </c>
      <c r="C14" s="7" t="s">
        <v>86</v>
      </c>
      <c r="D14" s="23" t="s">
        <v>85</v>
      </c>
      <c r="E14" s="25" t="s">
        <v>19</v>
      </c>
      <c r="F14" s="25" t="s">
        <v>19</v>
      </c>
      <c r="G14" s="25" t="s">
        <v>19</v>
      </c>
      <c r="H14" s="25" t="s">
        <v>19</v>
      </c>
      <c r="I14" s="25" t="s">
        <v>19</v>
      </c>
      <c r="J14" s="25" t="s">
        <v>20</v>
      </c>
      <c r="K14"/>
      <c r="L14" s="25" t="s">
        <v>21</v>
      </c>
      <c r="M14" t="s">
        <v>87</v>
      </c>
      <c r="N14" s="34" t="s">
        <v>88</v>
      </c>
      <c r="O14" s="2" t="s">
        <v>30</v>
      </c>
      <c r="P14" s="10" t="s">
        <v>36</v>
      </c>
    </row>
    <row r="15" spans="1:16" x14ac:dyDescent="0.3">
      <c r="A15" s="45">
        <v>14</v>
      </c>
      <c r="B15" s="9" t="s">
        <v>89</v>
      </c>
      <c r="C15" s="7" t="s">
        <v>90</v>
      </c>
      <c r="D15" s="23" t="s">
        <v>91</v>
      </c>
      <c r="E15" s="25" t="s">
        <v>19</v>
      </c>
      <c r="F15" s="25" t="s">
        <v>19</v>
      </c>
      <c r="G15" s="25" t="s">
        <v>19</v>
      </c>
      <c r="H15" s="25" t="s">
        <v>19</v>
      </c>
      <c r="I15" s="25" t="s">
        <v>19</v>
      </c>
      <c r="J15" s="25" t="s">
        <v>20</v>
      </c>
      <c r="K15"/>
      <c r="L15" s="25" t="s">
        <v>21</v>
      </c>
      <c r="M15" t="s">
        <v>92</v>
      </c>
      <c r="N15" s="32" t="s">
        <v>23</v>
      </c>
      <c r="O15" s="32" t="s">
        <v>42</v>
      </c>
      <c r="P15" s="33" t="s">
        <v>36</v>
      </c>
    </row>
    <row r="16" spans="1:16" x14ac:dyDescent="0.3">
      <c r="A16" s="45">
        <v>15</v>
      </c>
      <c r="B16" s="24" t="s">
        <v>93</v>
      </c>
      <c r="C16" s="7" t="s">
        <v>94</v>
      </c>
      <c r="D16" s="23" t="s">
        <v>18</v>
      </c>
      <c r="E16" s="25" t="s">
        <v>19</v>
      </c>
      <c r="F16" s="25" t="s">
        <v>19</v>
      </c>
      <c r="G16" s="25" t="s">
        <v>19</v>
      </c>
      <c r="H16" s="25" t="s">
        <v>19</v>
      </c>
      <c r="I16" s="25" t="s">
        <v>19</v>
      </c>
      <c r="J16" s="25" t="s">
        <v>20</v>
      </c>
      <c r="K16"/>
      <c r="L16" s="25" t="s">
        <v>21</v>
      </c>
      <c r="M16" t="s">
        <v>95</v>
      </c>
      <c r="N16" s="32" t="s">
        <v>96</v>
      </c>
      <c r="O16" s="2" t="s">
        <v>97</v>
      </c>
      <c r="P16" s="33" t="s">
        <v>36</v>
      </c>
    </row>
    <row r="17" spans="1:16" x14ac:dyDescent="0.3">
      <c r="A17" s="45">
        <v>16</v>
      </c>
      <c r="B17" s="9" t="s">
        <v>98</v>
      </c>
      <c r="C17" s="7" t="s">
        <v>99</v>
      </c>
      <c r="D17" t="s">
        <v>100</v>
      </c>
      <c r="E17" s="25" t="s">
        <v>19</v>
      </c>
      <c r="F17" s="25" t="s">
        <v>19</v>
      </c>
      <c r="G17" s="25" t="s">
        <v>19</v>
      </c>
      <c r="H17" s="25" t="s">
        <v>19</v>
      </c>
      <c r="I17" s="25" t="s">
        <v>19</v>
      </c>
      <c r="J17" s="25" t="s">
        <v>20</v>
      </c>
      <c r="K17"/>
      <c r="L17" s="25" t="s">
        <v>21</v>
      </c>
      <c r="M17" t="s">
        <v>101</v>
      </c>
      <c r="N17" s="32" t="s">
        <v>23</v>
      </c>
      <c r="O17" s="32" t="s">
        <v>30</v>
      </c>
      <c r="P17" s="33" t="s">
        <v>102</v>
      </c>
    </row>
    <row r="18" spans="1:16" x14ac:dyDescent="0.3">
      <c r="A18" s="45">
        <v>17</v>
      </c>
      <c r="B18" s="9" t="s">
        <v>108</v>
      </c>
      <c r="C18" s="7" t="s">
        <v>109</v>
      </c>
      <c r="D18" s="23" t="s">
        <v>18</v>
      </c>
      <c r="E18" s="25" t="s">
        <v>19</v>
      </c>
      <c r="F18" s="25" t="s">
        <v>19</v>
      </c>
      <c r="G18" s="25" t="s">
        <v>19</v>
      </c>
      <c r="H18" s="25" t="s">
        <v>19</v>
      </c>
      <c r="I18" s="25" t="s">
        <v>19</v>
      </c>
      <c r="J18" s="25" t="s">
        <v>20</v>
      </c>
      <c r="K18"/>
      <c r="L18" s="25" t="s">
        <v>21</v>
      </c>
      <c r="M18" t="s">
        <v>110</v>
      </c>
      <c r="N18" s="32" t="s">
        <v>23</v>
      </c>
      <c r="O18" s="32" t="s">
        <v>30</v>
      </c>
      <c r="P18" s="33" t="s">
        <v>36</v>
      </c>
    </row>
    <row r="19" spans="1:16" ht="57.6" x14ac:dyDescent="0.3">
      <c r="A19" s="45">
        <v>18</v>
      </c>
      <c r="B19" s="24" t="s">
        <v>111</v>
      </c>
      <c r="C19" s="7" t="s">
        <v>112</v>
      </c>
      <c r="D19" s="23" t="s">
        <v>18</v>
      </c>
      <c r="E19" s="25" t="s">
        <v>19</v>
      </c>
      <c r="F19" s="25" t="s">
        <v>19</v>
      </c>
      <c r="G19" s="25" t="s">
        <v>19</v>
      </c>
      <c r="H19" s="25" t="s">
        <v>19</v>
      </c>
      <c r="I19" s="25" t="s">
        <v>19</v>
      </c>
      <c r="J19" s="25" t="s">
        <v>19</v>
      </c>
      <c r="K19" t="s">
        <v>498</v>
      </c>
      <c r="L19" s="25" t="s">
        <v>21</v>
      </c>
      <c r="M19" t="s">
        <v>113</v>
      </c>
      <c r="N19" s="34" t="s">
        <v>114</v>
      </c>
      <c r="O19" s="32" t="s">
        <v>30</v>
      </c>
      <c r="P19" s="33" t="s">
        <v>51</v>
      </c>
    </row>
    <row r="20" spans="1:16" x14ac:dyDescent="0.3">
      <c r="A20" s="45">
        <v>19</v>
      </c>
      <c r="B20" s="9" t="s">
        <v>115</v>
      </c>
      <c r="C20" s="7" t="s">
        <v>116</v>
      </c>
      <c r="D20" s="23" t="s">
        <v>117</v>
      </c>
      <c r="E20" s="25" t="s">
        <v>19</v>
      </c>
      <c r="F20" s="25" t="s">
        <v>19</v>
      </c>
      <c r="G20" s="25" t="s">
        <v>19</v>
      </c>
      <c r="H20" s="25" t="s">
        <v>19</v>
      </c>
      <c r="I20" s="25" t="s">
        <v>19</v>
      </c>
      <c r="J20" s="25" t="s">
        <v>20</v>
      </c>
      <c r="K20"/>
      <c r="L20" s="25" t="s">
        <v>21</v>
      </c>
      <c r="M20" t="s">
        <v>118</v>
      </c>
      <c r="N20" s="32" t="s">
        <v>23</v>
      </c>
      <c r="O20" s="32" t="s">
        <v>30</v>
      </c>
      <c r="P20" s="33" t="s">
        <v>51</v>
      </c>
    </row>
    <row r="21" spans="1:16" x14ac:dyDescent="0.3">
      <c r="A21" s="45">
        <v>20</v>
      </c>
      <c r="B21" s="9" t="s">
        <v>123</v>
      </c>
      <c r="C21" s="13" t="s">
        <v>124</v>
      </c>
      <c r="D21" t="s">
        <v>125</v>
      </c>
      <c r="E21" s="25" t="s">
        <v>19</v>
      </c>
      <c r="F21" s="25" t="s">
        <v>19</v>
      </c>
      <c r="G21" s="25" t="s">
        <v>19</v>
      </c>
      <c r="H21" s="25" t="s">
        <v>19</v>
      </c>
      <c r="I21" s="25" t="s">
        <v>19</v>
      </c>
      <c r="J21" s="25" t="s">
        <v>20</v>
      </c>
      <c r="K21"/>
      <c r="L21" s="25" t="s">
        <v>21</v>
      </c>
      <c r="M21" t="s">
        <v>126</v>
      </c>
      <c r="N21" s="32" t="s">
        <v>127</v>
      </c>
      <c r="O21" s="32" t="s">
        <v>30</v>
      </c>
      <c r="P21" s="33" t="s">
        <v>36</v>
      </c>
    </row>
    <row r="22" spans="1:16" ht="43.2" x14ac:dyDescent="0.3">
      <c r="A22" s="45">
        <v>21</v>
      </c>
      <c r="B22" s="24" t="s">
        <v>128</v>
      </c>
      <c r="C22" s="7" t="s">
        <v>129</v>
      </c>
      <c r="D22" s="23" t="s">
        <v>130</v>
      </c>
      <c r="E22" s="25" t="s">
        <v>19</v>
      </c>
      <c r="F22" s="25" t="s">
        <v>19</v>
      </c>
      <c r="G22" s="25" t="s">
        <v>19</v>
      </c>
      <c r="H22" s="25" t="s">
        <v>19</v>
      </c>
      <c r="I22" s="25" t="s">
        <v>19</v>
      </c>
      <c r="J22" s="25" t="s">
        <v>20</v>
      </c>
      <c r="K22"/>
      <c r="L22" s="25" t="s">
        <v>21</v>
      </c>
      <c r="M22" t="s">
        <v>131</v>
      </c>
      <c r="N22" s="34" t="s">
        <v>132</v>
      </c>
      <c r="O22" s="32" t="s">
        <v>30</v>
      </c>
      <c r="P22" s="33" t="s">
        <v>36</v>
      </c>
    </row>
    <row r="23" spans="1:16" x14ac:dyDescent="0.3">
      <c r="A23" s="45">
        <v>22</v>
      </c>
      <c r="B23" s="9" t="s">
        <v>133</v>
      </c>
      <c r="C23" s="7" t="s">
        <v>134</v>
      </c>
      <c r="D23" s="23" t="s">
        <v>135</v>
      </c>
      <c r="E23" s="25" t="s">
        <v>19</v>
      </c>
      <c r="F23" s="25" t="s">
        <v>19</v>
      </c>
      <c r="G23" s="25" t="s">
        <v>19</v>
      </c>
      <c r="H23" s="25" t="s">
        <v>19</v>
      </c>
      <c r="I23" s="25" t="s">
        <v>19</v>
      </c>
      <c r="J23" s="25" t="s">
        <v>20</v>
      </c>
      <c r="K23"/>
      <c r="L23" s="25" t="s">
        <v>21</v>
      </c>
      <c r="M23" t="s">
        <v>136</v>
      </c>
      <c r="N23" s="34" t="s">
        <v>23</v>
      </c>
      <c r="O23" s="32" t="s">
        <v>42</v>
      </c>
      <c r="P23" s="33" t="s">
        <v>137</v>
      </c>
    </row>
    <row r="24" spans="1:16" x14ac:dyDescent="0.3">
      <c r="A24" s="45">
        <v>23</v>
      </c>
      <c r="B24" s="9" t="s">
        <v>142</v>
      </c>
      <c r="C24" s="7" t="s">
        <v>143</v>
      </c>
      <c r="D24" s="23" t="s">
        <v>144</v>
      </c>
      <c r="E24" s="8" t="s">
        <v>19</v>
      </c>
      <c r="F24" s="8" t="s">
        <v>19</v>
      </c>
      <c r="G24" s="8" t="s">
        <v>19</v>
      </c>
      <c r="H24" s="8" t="s">
        <v>19</v>
      </c>
      <c r="I24" s="8" t="s">
        <v>19</v>
      </c>
      <c r="J24" s="8" t="s">
        <v>20</v>
      </c>
      <c r="K24"/>
      <c r="L24" s="25" t="s">
        <v>21</v>
      </c>
      <c r="M24" t="s">
        <v>145</v>
      </c>
      <c r="N24" s="2" t="s">
        <v>127</v>
      </c>
      <c r="O24" s="2" t="s">
        <v>42</v>
      </c>
      <c r="P24" s="10" t="s">
        <v>36</v>
      </c>
    </row>
    <row r="25" spans="1:16" x14ac:dyDescent="0.3">
      <c r="A25" s="45">
        <v>24</v>
      </c>
      <c r="B25" s="9" t="s">
        <v>146</v>
      </c>
      <c r="C25" s="7" t="s">
        <v>147</v>
      </c>
      <c r="D25" s="23" t="s">
        <v>148</v>
      </c>
      <c r="E25" s="25" t="s">
        <v>19</v>
      </c>
      <c r="F25" s="25" t="s">
        <v>19</v>
      </c>
      <c r="G25" s="25" t="s">
        <v>19</v>
      </c>
      <c r="H25" s="25" t="s">
        <v>19</v>
      </c>
      <c r="I25" s="25" t="s">
        <v>19</v>
      </c>
      <c r="J25" s="25" t="s">
        <v>20</v>
      </c>
      <c r="K25"/>
      <c r="L25" s="25" t="s">
        <v>21</v>
      </c>
      <c r="M25" t="s">
        <v>149</v>
      </c>
      <c r="N25" s="32" t="s">
        <v>23</v>
      </c>
      <c r="O25" s="32" t="s">
        <v>42</v>
      </c>
      <c r="P25" s="33" t="s">
        <v>36</v>
      </c>
    </row>
    <row r="26" spans="1:16" x14ac:dyDescent="0.3">
      <c r="A26" s="45">
        <v>25</v>
      </c>
      <c r="B26" s="24" t="s">
        <v>150</v>
      </c>
      <c r="C26" s="7" t="s">
        <v>151</v>
      </c>
      <c r="D26" s="23" t="s">
        <v>18</v>
      </c>
      <c r="E26" s="25" t="s">
        <v>19</v>
      </c>
      <c r="F26" s="25" t="s">
        <v>19</v>
      </c>
      <c r="G26" s="25" t="s">
        <v>19</v>
      </c>
      <c r="H26" s="25" t="s">
        <v>19</v>
      </c>
      <c r="I26" s="25" t="s">
        <v>19</v>
      </c>
      <c r="J26" s="25" t="s">
        <v>20</v>
      </c>
      <c r="K26"/>
      <c r="L26" s="25" t="s">
        <v>21</v>
      </c>
      <c r="M26" t="s">
        <v>152</v>
      </c>
      <c r="N26" s="32" t="s">
        <v>23</v>
      </c>
      <c r="O26" s="32" t="s">
        <v>30</v>
      </c>
      <c r="P26" s="33" t="s">
        <v>153</v>
      </c>
    </row>
    <row r="27" spans="1:16" x14ac:dyDescent="0.3">
      <c r="A27" s="45">
        <v>26</v>
      </c>
      <c r="B27" s="24" t="s">
        <v>154</v>
      </c>
      <c r="C27" s="7" t="s">
        <v>155</v>
      </c>
      <c r="D27" s="23" t="s">
        <v>18</v>
      </c>
      <c r="E27" s="25" t="s">
        <v>19</v>
      </c>
      <c r="F27" s="25" t="s">
        <v>19</v>
      </c>
      <c r="G27" s="25" t="s">
        <v>19</v>
      </c>
      <c r="H27" s="25" t="s">
        <v>19</v>
      </c>
      <c r="I27" s="25" t="s">
        <v>19</v>
      </c>
      <c r="J27" s="25" t="s">
        <v>20</v>
      </c>
      <c r="K27"/>
      <c r="L27" s="25" t="s">
        <v>21</v>
      </c>
      <c r="M27" t="s">
        <v>156</v>
      </c>
      <c r="N27" s="32" t="s">
        <v>96</v>
      </c>
      <c r="O27" s="32" t="s">
        <v>30</v>
      </c>
      <c r="P27" s="33" t="s">
        <v>36</v>
      </c>
    </row>
    <row r="28" spans="1:16" x14ac:dyDescent="0.3">
      <c r="A28" s="46">
        <v>27</v>
      </c>
      <c r="B28" s="9" t="s">
        <v>157</v>
      </c>
      <c r="C28" s="7" t="s">
        <v>158</v>
      </c>
      <c r="D28" s="23" t="s">
        <v>159</v>
      </c>
      <c r="E28" s="25" t="s">
        <v>20</v>
      </c>
      <c r="F28" s="25" t="s">
        <v>20</v>
      </c>
      <c r="G28" s="25" t="s">
        <v>20</v>
      </c>
      <c r="H28" s="25" t="s">
        <v>19</v>
      </c>
      <c r="I28" s="25" t="s">
        <v>19</v>
      </c>
      <c r="J28" s="25" t="s">
        <v>20</v>
      </c>
      <c r="K28"/>
      <c r="L28" s="25" t="s">
        <v>83</v>
      </c>
      <c r="M28" t="s">
        <v>160</v>
      </c>
      <c r="N28" s="32" t="s">
        <v>161</v>
      </c>
      <c r="O28" s="32" t="s">
        <v>161</v>
      </c>
      <c r="P28" s="33" t="s">
        <v>36</v>
      </c>
    </row>
    <row r="29" spans="1:16" x14ac:dyDescent="0.3">
      <c r="A29" s="46">
        <v>28</v>
      </c>
      <c r="B29" s="9" t="s">
        <v>162</v>
      </c>
      <c r="C29" s="7" t="s">
        <v>163</v>
      </c>
      <c r="D29" t="s">
        <v>164</v>
      </c>
      <c r="E29" s="25" t="s">
        <v>19</v>
      </c>
      <c r="F29" s="25" t="s">
        <v>20</v>
      </c>
      <c r="G29" s="25" t="s">
        <v>19</v>
      </c>
      <c r="H29" s="25" t="s">
        <v>19</v>
      </c>
      <c r="I29" s="25" t="s">
        <v>19</v>
      </c>
      <c r="J29" s="25" t="s">
        <v>20</v>
      </c>
      <c r="K29" t="s">
        <v>499</v>
      </c>
      <c r="L29" s="25" t="s">
        <v>83</v>
      </c>
      <c r="M29" s="23" t="s">
        <v>165</v>
      </c>
      <c r="N29" s="32" t="s">
        <v>161</v>
      </c>
      <c r="O29" s="32" t="s">
        <v>166</v>
      </c>
      <c r="P29" s="33" t="s">
        <v>36</v>
      </c>
    </row>
    <row r="30" spans="1:16" x14ac:dyDescent="0.3">
      <c r="A30" s="46">
        <v>29</v>
      </c>
      <c r="B30" s="9" t="s">
        <v>167</v>
      </c>
      <c r="C30" s="7" t="s">
        <v>168</v>
      </c>
      <c r="D30" s="23" t="s">
        <v>159</v>
      </c>
      <c r="E30" s="25" t="s">
        <v>19</v>
      </c>
      <c r="F30" s="25" t="s">
        <v>19</v>
      </c>
      <c r="G30" s="25" t="s">
        <v>19</v>
      </c>
      <c r="H30" s="25" t="s">
        <v>19</v>
      </c>
      <c r="I30" s="25" t="s">
        <v>20</v>
      </c>
      <c r="J30" s="25" t="s">
        <v>20</v>
      </c>
      <c r="K30" t="s">
        <v>500</v>
      </c>
      <c r="L30" s="25" t="s">
        <v>83</v>
      </c>
      <c r="M30" t="s">
        <v>169</v>
      </c>
      <c r="N30" s="32" t="s">
        <v>23</v>
      </c>
      <c r="O30" s="32" t="s">
        <v>42</v>
      </c>
      <c r="P30" s="33" t="s">
        <v>36</v>
      </c>
    </row>
    <row r="31" spans="1:16" x14ac:dyDescent="0.3">
      <c r="A31" s="46">
        <v>30</v>
      </c>
      <c r="B31" s="9" t="s">
        <v>170</v>
      </c>
      <c r="C31" s="1" t="s">
        <v>171</v>
      </c>
      <c r="D31" s="23" t="s">
        <v>18</v>
      </c>
      <c r="E31" s="25" t="s">
        <v>19</v>
      </c>
      <c r="F31" s="25" t="s">
        <v>19</v>
      </c>
      <c r="G31" s="25" t="s">
        <v>19</v>
      </c>
      <c r="H31" s="25" t="s">
        <v>20</v>
      </c>
      <c r="I31" s="25" t="s">
        <v>172</v>
      </c>
      <c r="J31" s="25" t="s">
        <v>20</v>
      </c>
      <c r="K31" t="s">
        <v>501</v>
      </c>
      <c r="L31" s="25" t="s">
        <v>83</v>
      </c>
      <c r="M31" t="s">
        <v>173</v>
      </c>
      <c r="N31" s="32" t="s">
        <v>174</v>
      </c>
      <c r="O31" s="32" t="s">
        <v>42</v>
      </c>
      <c r="P31" s="33" t="s">
        <v>175</v>
      </c>
    </row>
    <row r="32" spans="1:16" x14ac:dyDescent="0.3">
      <c r="A32" s="46">
        <v>31</v>
      </c>
      <c r="B32" s="24" t="s">
        <v>176</v>
      </c>
      <c r="C32" s="7" t="s">
        <v>177</v>
      </c>
      <c r="D32" s="23" t="s">
        <v>178</v>
      </c>
      <c r="E32" s="25" t="s">
        <v>19</v>
      </c>
      <c r="F32" s="25" t="s">
        <v>20</v>
      </c>
      <c r="G32" s="25" t="s">
        <v>20</v>
      </c>
      <c r="H32" s="25" t="s">
        <v>19</v>
      </c>
      <c r="I32" s="25" t="s">
        <v>19</v>
      </c>
      <c r="J32" s="25" t="s">
        <v>20</v>
      </c>
      <c r="K32" t="s">
        <v>502</v>
      </c>
      <c r="L32" s="25" t="s">
        <v>83</v>
      </c>
      <c r="M32" t="s">
        <v>179</v>
      </c>
      <c r="N32" s="32" t="s">
        <v>161</v>
      </c>
      <c r="O32" s="32" t="s">
        <v>42</v>
      </c>
      <c r="P32" s="33" t="s">
        <v>175</v>
      </c>
    </row>
    <row r="33" spans="1:16" ht="57.6" x14ac:dyDescent="0.3">
      <c r="A33" s="46">
        <v>32</v>
      </c>
      <c r="B33" s="9" t="s">
        <v>180</v>
      </c>
      <c r="C33" s="7" t="s">
        <v>181</v>
      </c>
      <c r="D33" s="23" t="s">
        <v>18</v>
      </c>
      <c r="E33" s="8" t="s">
        <v>19</v>
      </c>
      <c r="F33" s="8" t="s">
        <v>20</v>
      </c>
      <c r="G33" s="8" t="s">
        <v>19</v>
      </c>
      <c r="H33" s="8" t="s">
        <v>19</v>
      </c>
      <c r="I33" s="8" t="s">
        <v>19</v>
      </c>
      <c r="J33" s="8" t="s">
        <v>20</v>
      </c>
      <c r="K33" t="s">
        <v>503</v>
      </c>
      <c r="L33" s="25" t="s">
        <v>83</v>
      </c>
      <c r="M33" t="s">
        <v>182</v>
      </c>
      <c r="N33" s="12" t="s">
        <v>183</v>
      </c>
      <c r="O33" s="2" t="s">
        <v>30</v>
      </c>
      <c r="P33" s="10" t="s">
        <v>36</v>
      </c>
    </row>
    <row r="34" spans="1:16" x14ac:dyDescent="0.3">
      <c r="A34" s="46">
        <v>33</v>
      </c>
      <c r="B34" s="9" t="s">
        <v>184</v>
      </c>
      <c r="C34" s="7" t="s">
        <v>185</v>
      </c>
      <c r="D34" s="23" t="s">
        <v>18</v>
      </c>
      <c r="E34" s="25" t="s">
        <v>19</v>
      </c>
      <c r="F34" s="25" t="s">
        <v>19</v>
      </c>
      <c r="G34" s="25" t="s">
        <v>19</v>
      </c>
      <c r="H34" s="25" t="s">
        <v>20</v>
      </c>
      <c r="I34" s="25" t="s">
        <v>20</v>
      </c>
      <c r="J34" s="25" t="s">
        <v>20</v>
      </c>
      <c r="K34" t="s">
        <v>186</v>
      </c>
      <c r="L34" s="25" t="s">
        <v>83</v>
      </c>
      <c r="M34" t="s">
        <v>187</v>
      </c>
      <c r="N34" s="32" t="s">
        <v>96</v>
      </c>
      <c r="O34" s="32" t="s">
        <v>30</v>
      </c>
      <c r="P34" s="33" t="s">
        <v>161</v>
      </c>
    </row>
    <row r="35" spans="1:16" x14ac:dyDescent="0.3">
      <c r="A35" s="46">
        <v>34</v>
      </c>
      <c r="B35" s="9" t="s">
        <v>188</v>
      </c>
      <c r="C35" s="7" t="s">
        <v>189</v>
      </c>
      <c r="D35" s="23" t="s">
        <v>190</v>
      </c>
      <c r="E35" s="8" t="s">
        <v>20</v>
      </c>
      <c r="F35" s="8" t="s">
        <v>20</v>
      </c>
      <c r="G35" s="8" t="s">
        <v>20</v>
      </c>
      <c r="H35" s="8" t="s">
        <v>20</v>
      </c>
      <c r="I35" s="8" t="s">
        <v>20</v>
      </c>
      <c r="J35" s="8" t="s">
        <v>20</v>
      </c>
      <c r="K35"/>
      <c r="L35" s="25" t="s">
        <v>83</v>
      </c>
      <c r="M35" t="s">
        <v>191</v>
      </c>
      <c r="N35" s="2" t="s">
        <v>161</v>
      </c>
      <c r="O35" s="2" t="s">
        <v>161</v>
      </c>
      <c r="P35" s="10" t="s">
        <v>36</v>
      </c>
    </row>
    <row r="36" spans="1:16" x14ac:dyDescent="0.3">
      <c r="A36" s="46">
        <v>35</v>
      </c>
      <c r="B36" s="24" t="s">
        <v>192</v>
      </c>
      <c r="C36" s="7" t="s">
        <v>193</v>
      </c>
      <c r="D36" s="23" t="s">
        <v>194</v>
      </c>
      <c r="E36" s="25" t="s">
        <v>20</v>
      </c>
      <c r="F36" s="25" t="s">
        <v>20</v>
      </c>
      <c r="G36" s="25" t="s">
        <v>19</v>
      </c>
      <c r="H36" s="25" t="s">
        <v>19</v>
      </c>
      <c r="I36" s="25" t="s">
        <v>20</v>
      </c>
      <c r="J36" s="25" t="s">
        <v>20</v>
      </c>
      <c r="K36" t="s">
        <v>195</v>
      </c>
      <c r="L36" s="25" t="s">
        <v>83</v>
      </c>
      <c r="M36" t="s">
        <v>196</v>
      </c>
      <c r="N36" s="32" t="s">
        <v>161</v>
      </c>
      <c r="O36" s="32" t="s">
        <v>161</v>
      </c>
      <c r="P36" s="33" t="s">
        <v>36</v>
      </c>
    </row>
    <row r="37" spans="1:16" ht="28.8" x14ac:dyDescent="0.3">
      <c r="A37" s="46">
        <v>36</v>
      </c>
      <c r="B37" s="24" t="s">
        <v>197</v>
      </c>
      <c r="C37" s="7" t="s">
        <v>198</v>
      </c>
      <c r="D37" s="23" t="s">
        <v>199</v>
      </c>
      <c r="E37" s="25" t="s">
        <v>19</v>
      </c>
      <c r="F37" s="25" t="s">
        <v>200</v>
      </c>
      <c r="G37" s="25" t="s">
        <v>200</v>
      </c>
      <c r="H37" s="25" t="s">
        <v>20</v>
      </c>
      <c r="I37" s="25" t="s">
        <v>20</v>
      </c>
      <c r="J37" s="25" t="s">
        <v>20</v>
      </c>
      <c r="K37"/>
      <c r="L37" s="25" t="s">
        <v>83</v>
      </c>
      <c r="M37" t="s">
        <v>201</v>
      </c>
      <c r="N37" s="32" t="s">
        <v>127</v>
      </c>
      <c r="O37" s="34" t="s">
        <v>202</v>
      </c>
      <c r="P37" s="33" t="s">
        <v>175</v>
      </c>
    </row>
    <row r="38" spans="1:16" ht="43.2" x14ac:dyDescent="0.3">
      <c r="A38" s="46">
        <v>37</v>
      </c>
      <c r="B38" s="24" t="s">
        <v>203</v>
      </c>
      <c r="C38" s="7" t="s">
        <v>204</v>
      </c>
      <c r="D38" s="23" t="s">
        <v>205</v>
      </c>
      <c r="E38" s="8" t="s">
        <v>19</v>
      </c>
      <c r="F38" s="25" t="s">
        <v>20</v>
      </c>
      <c r="G38" s="8" t="s">
        <v>19</v>
      </c>
      <c r="H38" s="8" t="s">
        <v>19</v>
      </c>
      <c r="I38" s="8" t="s">
        <v>19</v>
      </c>
      <c r="J38" s="25" t="s">
        <v>20</v>
      </c>
      <c r="K38" s="4" t="s">
        <v>504</v>
      </c>
      <c r="L38" s="25" t="s">
        <v>83</v>
      </c>
      <c r="M38" t="s">
        <v>206</v>
      </c>
      <c r="N38" s="25" t="s">
        <v>161</v>
      </c>
      <c r="O38" s="25" t="s">
        <v>30</v>
      </c>
      <c r="P38" s="33" t="s">
        <v>207</v>
      </c>
    </row>
    <row r="39" spans="1:16" x14ac:dyDescent="0.3">
      <c r="A39" s="46">
        <v>38</v>
      </c>
      <c r="B39" s="24" t="s">
        <v>208</v>
      </c>
      <c r="C39" t="s">
        <v>209</v>
      </c>
      <c r="D39" s="23" t="s">
        <v>18</v>
      </c>
      <c r="E39" s="8" t="s">
        <v>19</v>
      </c>
      <c r="F39" s="8" t="s">
        <v>19</v>
      </c>
      <c r="G39" s="8" t="s">
        <v>19</v>
      </c>
      <c r="H39" s="8" t="s">
        <v>19</v>
      </c>
      <c r="I39" s="8" t="s">
        <v>20</v>
      </c>
      <c r="J39" s="8" t="s">
        <v>20</v>
      </c>
      <c r="K39" t="s">
        <v>210</v>
      </c>
      <c r="L39" s="25" t="s">
        <v>83</v>
      </c>
      <c r="M39" s="15" t="s">
        <v>211</v>
      </c>
      <c r="N39" s="2" t="s">
        <v>127</v>
      </c>
      <c r="O39" s="2" t="s">
        <v>30</v>
      </c>
      <c r="P39" s="10" t="s">
        <v>212</v>
      </c>
    </row>
    <row r="40" spans="1:16" ht="43.2" x14ac:dyDescent="0.3">
      <c r="A40" s="46">
        <v>39</v>
      </c>
      <c r="B40" s="9" t="s">
        <v>213</v>
      </c>
      <c r="C40" s="7" t="s">
        <v>214</v>
      </c>
      <c r="D40" s="23" t="s">
        <v>18</v>
      </c>
      <c r="E40" s="8" t="s">
        <v>20</v>
      </c>
      <c r="F40" s="8" t="s">
        <v>19</v>
      </c>
      <c r="G40" s="8" t="s">
        <v>19</v>
      </c>
      <c r="H40" s="25" t="s">
        <v>20</v>
      </c>
      <c r="I40" s="8" t="s">
        <v>19</v>
      </c>
      <c r="J40" s="8" t="s">
        <v>20</v>
      </c>
      <c r="K40" s="4" t="s">
        <v>505</v>
      </c>
      <c r="L40" s="25" t="s">
        <v>83</v>
      </c>
      <c r="M40" t="s">
        <v>215</v>
      </c>
      <c r="N40" s="32" t="s">
        <v>23</v>
      </c>
      <c r="O40" s="32" t="s">
        <v>161</v>
      </c>
      <c r="P40" s="10" t="s">
        <v>36</v>
      </c>
    </row>
    <row r="41" spans="1:16" x14ac:dyDescent="0.3">
      <c r="A41" s="46">
        <v>40</v>
      </c>
      <c r="B41" s="24" t="s">
        <v>216</v>
      </c>
      <c r="C41" s="7" t="s">
        <v>217</v>
      </c>
      <c r="D41" s="23" t="s">
        <v>218</v>
      </c>
      <c r="E41" s="25" t="s">
        <v>20</v>
      </c>
      <c r="F41" s="25" t="s">
        <v>20</v>
      </c>
      <c r="G41" s="25" t="s">
        <v>19</v>
      </c>
      <c r="H41" s="25" t="s">
        <v>19</v>
      </c>
      <c r="I41" s="25" t="s">
        <v>161</v>
      </c>
      <c r="J41" s="25" t="s">
        <v>19</v>
      </c>
      <c r="K41" t="s">
        <v>506</v>
      </c>
      <c r="L41" s="25" t="s">
        <v>83</v>
      </c>
      <c r="M41" t="s">
        <v>219</v>
      </c>
      <c r="N41" s="32" t="s">
        <v>161</v>
      </c>
      <c r="O41" s="32" t="s">
        <v>161</v>
      </c>
      <c r="P41" s="33" t="s">
        <v>61</v>
      </c>
    </row>
    <row r="42" spans="1:16" ht="43.2" x14ac:dyDescent="0.3">
      <c r="A42" s="46">
        <v>41</v>
      </c>
      <c r="B42" s="24" t="s">
        <v>220</v>
      </c>
      <c r="C42" s="7" t="s">
        <v>221</v>
      </c>
      <c r="D42" s="23" t="s">
        <v>18</v>
      </c>
      <c r="E42" s="25" t="s">
        <v>19</v>
      </c>
      <c r="F42" s="25" t="s">
        <v>20</v>
      </c>
      <c r="G42" s="25" t="s">
        <v>20</v>
      </c>
      <c r="H42" s="25" t="s">
        <v>20</v>
      </c>
      <c r="I42" s="25" t="s">
        <v>20</v>
      </c>
      <c r="J42" s="25" t="s">
        <v>20</v>
      </c>
      <c r="K42" s="4" t="s">
        <v>507</v>
      </c>
      <c r="L42" s="25" t="s">
        <v>83</v>
      </c>
      <c r="M42" t="s">
        <v>222</v>
      </c>
      <c r="N42" s="32" t="s">
        <v>161</v>
      </c>
      <c r="O42" s="32" t="s">
        <v>223</v>
      </c>
      <c r="P42" s="33" t="s">
        <v>175</v>
      </c>
    </row>
    <row r="43" spans="1:16" x14ac:dyDescent="0.3">
      <c r="A43" s="46">
        <v>42</v>
      </c>
      <c r="B43" s="9" t="s">
        <v>224</v>
      </c>
      <c r="C43" s="7" t="s">
        <v>225</v>
      </c>
      <c r="D43" s="23" t="s">
        <v>64</v>
      </c>
      <c r="E43" s="25" t="s">
        <v>20</v>
      </c>
      <c r="F43" s="25" t="s">
        <v>20</v>
      </c>
      <c r="G43" s="25" t="s">
        <v>20</v>
      </c>
      <c r="H43" s="25" t="s">
        <v>19</v>
      </c>
      <c r="I43" s="25" t="s">
        <v>19</v>
      </c>
      <c r="J43" s="25" t="s">
        <v>20</v>
      </c>
      <c r="K43" t="s">
        <v>508</v>
      </c>
      <c r="L43" s="25" t="s">
        <v>83</v>
      </c>
      <c r="M43" t="s">
        <v>226</v>
      </c>
      <c r="N43" s="32" t="s">
        <v>161</v>
      </c>
      <c r="O43" s="32" t="s">
        <v>161</v>
      </c>
      <c r="P43" s="33" t="s">
        <v>36</v>
      </c>
    </row>
    <row r="44" spans="1:16" x14ac:dyDescent="0.3">
      <c r="A44" s="46">
        <v>43</v>
      </c>
      <c r="B44" s="9" t="s">
        <v>227</v>
      </c>
      <c r="C44" s="7" t="s">
        <v>228</v>
      </c>
      <c r="D44" t="s">
        <v>229</v>
      </c>
      <c r="E44" s="25" t="s">
        <v>19</v>
      </c>
      <c r="F44" s="25" t="s">
        <v>20</v>
      </c>
      <c r="G44" s="25" t="s">
        <v>20</v>
      </c>
      <c r="H44" s="25" t="s">
        <v>19</v>
      </c>
      <c r="I44" s="25" t="s">
        <v>19</v>
      </c>
      <c r="J44" s="25" t="s">
        <v>20</v>
      </c>
      <c r="K44"/>
      <c r="L44" s="25" t="s">
        <v>83</v>
      </c>
      <c r="M44" t="s">
        <v>230</v>
      </c>
      <c r="N44" s="32" t="s">
        <v>161</v>
      </c>
      <c r="O44" s="32" t="s">
        <v>223</v>
      </c>
      <c r="P44" s="33" t="s">
        <v>175</v>
      </c>
    </row>
    <row r="45" spans="1:16" x14ac:dyDescent="0.3">
      <c r="A45" s="46">
        <v>44</v>
      </c>
      <c r="B45" s="9" t="s">
        <v>231</v>
      </c>
      <c r="C45" s="23" t="s">
        <v>232</v>
      </c>
      <c r="D45" t="s">
        <v>190</v>
      </c>
      <c r="E45" s="25" t="s">
        <v>161</v>
      </c>
      <c r="F45" s="25" t="s">
        <v>161</v>
      </c>
      <c r="G45" s="25" t="s">
        <v>161</v>
      </c>
      <c r="H45" s="25" t="s">
        <v>161</v>
      </c>
      <c r="I45" s="25" t="s">
        <v>161</v>
      </c>
      <c r="J45" s="25" t="s">
        <v>161</v>
      </c>
      <c r="K45" t="s">
        <v>233</v>
      </c>
      <c r="L45" s="25" t="s">
        <v>83</v>
      </c>
      <c r="M45" s="23" t="s">
        <v>234</v>
      </c>
      <c r="N45" s="32" t="s">
        <v>161</v>
      </c>
      <c r="O45" s="32" t="s">
        <v>161</v>
      </c>
      <c r="P45" s="33" t="s">
        <v>36</v>
      </c>
    </row>
    <row r="46" spans="1:16" x14ac:dyDescent="0.3">
      <c r="A46" s="46">
        <v>45</v>
      </c>
      <c r="B46" s="24" t="s">
        <v>235</v>
      </c>
      <c r="C46" s="23" t="s">
        <v>236</v>
      </c>
      <c r="D46" t="s">
        <v>190</v>
      </c>
      <c r="E46" s="25" t="s">
        <v>20</v>
      </c>
      <c r="F46" s="25" t="s">
        <v>161</v>
      </c>
      <c r="G46" s="25" t="s">
        <v>19</v>
      </c>
      <c r="H46" s="25" t="s">
        <v>20</v>
      </c>
      <c r="I46" s="25" t="s">
        <v>20</v>
      </c>
      <c r="J46" s="25" t="s">
        <v>20</v>
      </c>
      <c r="K46" t="s">
        <v>237</v>
      </c>
      <c r="L46" s="25" t="s">
        <v>83</v>
      </c>
      <c r="M46" s="23" t="s">
        <v>238</v>
      </c>
      <c r="N46" s="32" t="s">
        <v>161</v>
      </c>
      <c r="O46" s="32" t="s">
        <v>161</v>
      </c>
      <c r="P46" s="33" t="s">
        <v>239</v>
      </c>
    </row>
    <row r="47" spans="1:16" ht="15" x14ac:dyDescent="0.35">
      <c r="A47" s="46">
        <v>46</v>
      </c>
      <c r="B47" s="9" t="s">
        <v>240</v>
      </c>
      <c r="C47" s="7" t="s">
        <v>241</v>
      </c>
      <c r="D47" s="23" t="s">
        <v>18</v>
      </c>
      <c r="E47" s="8" t="s">
        <v>19</v>
      </c>
      <c r="F47" s="8" t="s">
        <v>161</v>
      </c>
      <c r="G47" s="8" t="s">
        <v>161</v>
      </c>
      <c r="H47" s="8" t="s">
        <v>19</v>
      </c>
      <c r="I47" s="8" t="s">
        <v>19</v>
      </c>
      <c r="J47" s="8" t="s">
        <v>20</v>
      </c>
      <c r="K47" t="s">
        <v>242</v>
      </c>
      <c r="L47" s="25" t="s">
        <v>83</v>
      </c>
      <c r="M47" s="11" t="s">
        <v>243</v>
      </c>
      <c r="N47" s="2" t="s">
        <v>244</v>
      </c>
      <c r="O47" s="2" t="s">
        <v>245</v>
      </c>
      <c r="P47" s="33" t="s">
        <v>161</v>
      </c>
    </row>
    <row r="48" spans="1:16" x14ac:dyDescent="0.3">
      <c r="A48" s="46">
        <v>47</v>
      </c>
      <c r="B48" s="9" t="s">
        <v>246</v>
      </c>
      <c r="C48" s="7" t="s">
        <v>247</v>
      </c>
      <c r="D48" s="23" t="s">
        <v>248</v>
      </c>
      <c r="E48" s="25" t="s">
        <v>19</v>
      </c>
      <c r="F48" s="25" t="s">
        <v>20</v>
      </c>
      <c r="G48" s="25" t="s">
        <v>20</v>
      </c>
      <c r="H48" s="25" t="s">
        <v>19</v>
      </c>
      <c r="I48" s="25" t="s">
        <v>19</v>
      </c>
      <c r="J48" s="25" t="s">
        <v>20</v>
      </c>
      <c r="K48"/>
      <c r="L48" s="25" t="s">
        <v>83</v>
      </c>
      <c r="M48" t="s">
        <v>249</v>
      </c>
      <c r="N48" s="32" t="s">
        <v>161</v>
      </c>
      <c r="O48" s="32" t="s">
        <v>30</v>
      </c>
      <c r="P48" s="33" t="s">
        <v>36</v>
      </c>
    </row>
    <row r="49" spans="1:16" ht="57.6" x14ac:dyDescent="0.3">
      <c r="A49" s="46">
        <v>48</v>
      </c>
      <c r="B49" s="9" t="s">
        <v>250</v>
      </c>
      <c r="C49" s="7" t="s">
        <v>251</v>
      </c>
      <c r="D49" s="23" t="s">
        <v>252</v>
      </c>
      <c r="E49" s="8" t="s">
        <v>19</v>
      </c>
      <c r="F49" s="8" t="s">
        <v>20</v>
      </c>
      <c r="G49" s="8" t="s">
        <v>19</v>
      </c>
      <c r="H49" s="8" t="s">
        <v>19</v>
      </c>
      <c r="I49" s="8" t="s">
        <v>19</v>
      </c>
      <c r="J49" s="8" t="s">
        <v>19</v>
      </c>
      <c r="K49" s="4" t="s">
        <v>509</v>
      </c>
      <c r="L49" s="25" t="s">
        <v>83</v>
      </c>
      <c r="M49" t="s">
        <v>253</v>
      </c>
      <c r="N49" s="2" t="s">
        <v>161</v>
      </c>
      <c r="O49" s="2" t="s">
        <v>223</v>
      </c>
      <c r="P49" s="10" t="s">
        <v>36</v>
      </c>
    </row>
    <row r="50" spans="1:16" ht="43.2" x14ac:dyDescent="0.3">
      <c r="A50" s="46">
        <v>49</v>
      </c>
      <c r="B50" s="24" t="s">
        <v>254</v>
      </c>
      <c r="C50" s="7" t="s">
        <v>255</v>
      </c>
      <c r="D50" s="23" t="s">
        <v>256</v>
      </c>
      <c r="E50" s="25" t="s">
        <v>20</v>
      </c>
      <c r="F50" s="25" t="s">
        <v>20</v>
      </c>
      <c r="G50" s="25" t="s">
        <v>20</v>
      </c>
      <c r="H50" s="25" t="s">
        <v>19</v>
      </c>
      <c r="I50" s="25" t="s">
        <v>20</v>
      </c>
      <c r="J50" s="25" t="s">
        <v>20</v>
      </c>
      <c r="K50" s="4" t="s">
        <v>510</v>
      </c>
      <c r="L50" s="25" t="s">
        <v>83</v>
      </c>
      <c r="M50" t="s">
        <v>257</v>
      </c>
      <c r="N50" s="32" t="s">
        <v>161</v>
      </c>
      <c r="O50" s="32" t="s">
        <v>161</v>
      </c>
      <c r="P50" s="33" t="s">
        <v>36</v>
      </c>
    </row>
    <row r="51" spans="1:16" x14ac:dyDescent="0.3">
      <c r="A51" s="46">
        <v>50</v>
      </c>
      <c r="B51" s="9" t="s">
        <v>258</v>
      </c>
      <c r="C51" s="7" t="s">
        <v>259</v>
      </c>
      <c r="D51" s="23" t="s">
        <v>178</v>
      </c>
      <c r="E51" s="25" t="s">
        <v>19</v>
      </c>
      <c r="F51" s="25" t="s">
        <v>20</v>
      </c>
      <c r="G51" s="25" t="s">
        <v>20</v>
      </c>
      <c r="H51" s="25" t="s">
        <v>19</v>
      </c>
      <c r="I51" s="25" t="s">
        <v>20</v>
      </c>
      <c r="J51" s="25" t="s">
        <v>20</v>
      </c>
      <c r="K51" t="s">
        <v>260</v>
      </c>
      <c r="L51" s="25" t="s">
        <v>83</v>
      </c>
      <c r="M51" t="s">
        <v>261</v>
      </c>
      <c r="N51" s="32" t="s">
        <v>161</v>
      </c>
      <c r="O51" s="32" t="s">
        <v>42</v>
      </c>
      <c r="P51" s="33" t="s">
        <v>175</v>
      </c>
    </row>
    <row r="52" spans="1:16" x14ac:dyDescent="0.3">
      <c r="A52" s="46">
        <v>51</v>
      </c>
      <c r="B52" s="24" t="s">
        <v>262</v>
      </c>
      <c r="C52" s="7" t="s">
        <v>263</v>
      </c>
      <c r="D52" t="s">
        <v>18</v>
      </c>
      <c r="E52" s="25" t="s">
        <v>19</v>
      </c>
      <c r="F52" s="8" t="s">
        <v>161</v>
      </c>
      <c r="G52" s="8" t="s">
        <v>161</v>
      </c>
      <c r="H52" s="25" t="s">
        <v>19</v>
      </c>
      <c r="I52" s="25" t="s">
        <v>19</v>
      </c>
      <c r="J52" s="25" t="s">
        <v>20</v>
      </c>
      <c r="K52" t="s">
        <v>264</v>
      </c>
      <c r="L52" s="25" t="s">
        <v>83</v>
      </c>
      <c r="M52" t="s">
        <v>265</v>
      </c>
      <c r="N52" s="32" t="s">
        <v>174</v>
      </c>
      <c r="O52" s="32" t="s">
        <v>166</v>
      </c>
      <c r="P52" s="33" t="s">
        <v>266</v>
      </c>
    </row>
    <row r="53" spans="1:16" x14ac:dyDescent="0.3">
      <c r="A53" s="46">
        <v>52</v>
      </c>
      <c r="B53" s="24" t="s">
        <v>267</v>
      </c>
      <c r="C53" s="7" t="s">
        <v>268</v>
      </c>
      <c r="D53" s="23" t="s">
        <v>269</v>
      </c>
      <c r="E53" s="8" t="s">
        <v>19</v>
      </c>
      <c r="F53" s="8" t="s">
        <v>19</v>
      </c>
      <c r="G53" s="8" t="s">
        <v>19</v>
      </c>
      <c r="H53" s="8" t="s">
        <v>20</v>
      </c>
      <c r="I53" s="8" t="s">
        <v>19</v>
      </c>
      <c r="J53" s="8" t="s">
        <v>20</v>
      </c>
      <c r="K53" t="s">
        <v>511</v>
      </c>
      <c r="L53" s="25" t="s">
        <v>83</v>
      </c>
      <c r="M53" s="23" t="s">
        <v>270</v>
      </c>
      <c r="N53" s="32" t="s">
        <v>23</v>
      </c>
      <c r="O53" s="32" t="s">
        <v>42</v>
      </c>
      <c r="P53" s="33" t="s">
        <v>175</v>
      </c>
    </row>
    <row r="54" spans="1:16" ht="57.6" x14ac:dyDescent="0.3">
      <c r="A54" s="46">
        <v>53</v>
      </c>
      <c r="B54" s="9" t="s">
        <v>271</v>
      </c>
      <c r="C54" s="1" t="s">
        <v>272</v>
      </c>
      <c r="D54" s="23" t="s">
        <v>18</v>
      </c>
      <c r="E54" s="25" t="s">
        <v>19</v>
      </c>
      <c r="F54" s="25" t="s">
        <v>20</v>
      </c>
      <c r="G54" s="25" t="s">
        <v>19</v>
      </c>
      <c r="H54" s="25" t="s">
        <v>19</v>
      </c>
      <c r="I54" s="25" t="s">
        <v>19</v>
      </c>
      <c r="J54" s="25" t="s">
        <v>19</v>
      </c>
      <c r="K54" s="4" t="s">
        <v>512</v>
      </c>
      <c r="L54" s="25" t="s">
        <v>83</v>
      </c>
      <c r="M54" t="s">
        <v>273</v>
      </c>
      <c r="N54" s="32" t="s">
        <v>23</v>
      </c>
      <c r="O54" s="32" t="s">
        <v>30</v>
      </c>
      <c r="P54" s="33" t="s">
        <v>274</v>
      </c>
    </row>
    <row r="55" spans="1:16" x14ac:dyDescent="0.3">
      <c r="A55" s="46">
        <v>54</v>
      </c>
      <c r="B55" s="9" t="s">
        <v>80</v>
      </c>
      <c r="C55" s="7" t="s">
        <v>81</v>
      </c>
      <c r="D55" s="23" t="s">
        <v>82</v>
      </c>
      <c r="E55" s="25" t="s">
        <v>19</v>
      </c>
      <c r="F55" s="25" t="s">
        <v>20</v>
      </c>
      <c r="G55" s="25" t="s">
        <v>19</v>
      </c>
      <c r="H55" s="25" t="s">
        <v>19</v>
      </c>
      <c r="I55" s="25" t="s">
        <v>19</v>
      </c>
      <c r="J55" s="25" t="s">
        <v>20</v>
      </c>
      <c r="K55" t="s">
        <v>513</v>
      </c>
      <c r="L55" s="25" t="s">
        <v>83</v>
      </c>
      <c r="M55" t="s">
        <v>84</v>
      </c>
      <c r="N55" s="32" t="s">
        <v>23</v>
      </c>
      <c r="O55" s="32" t="s">
        <v>42</v>
      </c>
      <c r="P55" s="33" t="s">
        <v>36</v>
      </c>
    </row>
    <row r="56" spans="1:16" ht="57.6" x14ac:dyDescent="0.3">
      <c r="A56" s="46">
        <v>55</v>
      </c>
      <c r="B56" s="9" t="s">
        <v>275</v>
      </c>
      <c r="C56" s="7" t="s">
        <v>276</v>
      </c>
      <c r="D56" s="23" t="s">
        <v>277</v>
      </c>
      <c r="E56" s="25" t="s">
        <v>19</v>
      </c>
      <c r="F56" s="25" t="s">
        <v>19</v>
      </c>
      <c r="G56" s="25" t="s">
        <v>20</v>
      </c>
      <c r="H56" s="25" t="s">
        <v>19</v>
      </c>
      <c r="I56" s="25" t="s">
        <v>19</v>
      </c>
      <c r="J56" s="25" t="s">
        <v>19</v>
      </c>
      <c r="K56" s="4" t="s">
        <v>514</v>
      </c>
      <c r="L56" s="25" t="s">
        <v>83</v>
      </c>
      <c r="M56" t="s">
        <v>278</v>
      </c>
      <c r="N56" s="32" t="s">
        <v>23</v>
      </c>
      <c r="O56" s="32" t="s">
        <v>42</v>
      </c>
      <c r="P56" s="33" t="s">
        <v>36</v>
      </c>
    </row>
    <row r="57" spans="1:16" ht="86.4" x14ac:dyDescent="0.3">
      <c r="A57" s="46">
        <v>56</v>
      </c>
      <c r="B57" s="9" t="s">
        <v>279</v>
      </c>
      <c r="C57" s="7" t="s">
        <v>280</v>
      </c>
      <c r="D57" s="23" t="s">
        <v>130</v>
      </c>
      <c r="E57" s="25" t="s">
        <v>19</v>
      </c>
      <c r="F57" s="25" t="s">
        <v>19</v>
      </c>
      <c r="G57" s="25" t="s">
        <v>20</v>
      </c>
      <c r="H57" s="25" t="s">
        <v>20</v>
      </c>
      <c r="I57" s="25" t="s">
        <v>19</v>
      </c>
      <c r="J57" s="25" t="s">
        <v>20</v>
      </c>
      <c r="K57" s="4" t="s">
        <v>515</v>
      </c>
      <c r="L57" s="25" t="s">
        <v>83</v>
      </c>
      <c r="M57" t="s">
        <v>281</v>
      </c>
      <c r="N57" s="34" t="s">
        <v>282</v>
      </c>
      <c r="O57" s="32" t="s">
        <v>30</v>
      </c>
      <c r="P57" s="33" t="s">
        <v>36</v>
      </c>
    </row>
    <row r="58" spans="1:16" x14ac:dyDescent="0.3">
      <c r="A58" s="46">
        <v>57</v>
      </c>
      <c r="B58" s="24" t="s">
        <v>283</v>
      </c>
      <c r="C58" t="s">
        <v>284</v>
      </c>
      <c r="D58" s="23" t="s">
        <v>283</v>
      </c>
      <c r="E58" s="8" t="s">
        <v>19</v>
      </c>
      <c r="F58" s="8" t="s">
        <v>20</v>
      </c>
      <c r="G58" s="25" t="s">
        <v>19</v>
      </c>
      <c r="H58" s="25" t="s">
        <v>19</v>
      </c>
      <c r="I58" s="25" t="s">
        <v>19</v>
      </c>
      <c r="J58" s="8" t="s">
        <v>19</v>
      </c>
      <c r="K58"/>
      <c r="L58" s="25" t="s">
        <v>83</v>
      </c>
      <c r="M58" t="s">
        <v>285</v>
      </c>
      <c r="N58" s="32" t="s">
        <v>161</v>
      </c>
      <c r="O58" s="32" t="s">
        <v>223</v>
      </c>
      <c r="P58" s="33" t="s">
        <v>286</v>
      </c>
    </row>
    <row r="59" spans="1:16" x14ac:dyDescent="0.3">
      <c r="A59" s="46">
        <v>58</v>
      </c>
      <c r="B59" s="24" t="s">
        <v>287</v>
      </c>
      <c r="C59" s="7" t="s">
        <v>288</v>
      </c>
      <c r="D59" t="s">
        <v>289</v>
      </c>
      <c r="E59" s="25" t="s">
        <v>19</v>
      </c>
      <c r="F59" s="25" t="s">
        <v>20</v>
      </c>
      <c r="G59" s="25" t="s">
        <v>20</v>
      </c>
      <c r="H59" s="25" t="s">
        <v>19</v>
      </c>
      <c r="I59" s="25" t="s">
        <v>19</v>
      </c>
      <c r="J59" s="25" t="s">
        <v>19</v>
      </c>
      <c r="K59" t="s">
        <v>516</v>
      </c>
      <c r="L59" s="25" t="s">
        <v>83</v>
      </c>
      <c r="M59" t="s">
        <v>290</v>
      </c>
      <c r="N59" s="32" t="s">
        <v>161</v>
      </c>
      <c r="O59" s="32" t="s">
        <v>291</v>
      </c>
      <c r="P59" s="33" t="s">
        <v>36</v>
      </c>
    </row>
    <row r="60" spans="1:16" x14ac:dyDescent="0.3">
      <c r="A60" s="46">
        <v>59</v>
      </c>
      <c r="B60" s="24" t="s">
        <v>292</v>
      </c>
      <c r="C60" s="1" t="s">
        <v>293</v>
      </c>
      <c r="D60" s="23" t="s">
        <v>294</v>
      </c>
      <c r="E60" s="25" t="s">
        <v>19</v>
      </c>
      <c r="F60" s="25" t="s">
        <v>20</v>
      </c>
      <c r="G60" s="25" t="s">
        <v>19</v>
      </c>
      <c r="H60" s="25" t="s">
        <v>19</v>
      </c>
      <c r="I60" s="25" t="s">
        <v>19</v>
      </c>
      <c r="J60" s="25" t="s">
        <v>20</v>
      </c>
      <c r="K60" t="s">
        <v>517</v>
      </c>
      <c r="L60" s="25" t="s">
        <v>83</v>
      </c>
      <c r="M60" t="s">
        <v>295</v>
      </c>
      <c r="N60" s="32" t="s">
        <v>23</v>
      </c>
      <c r="O60" s="32" t="s">
        <v>42</v>
      </c>
      <c r="P60" s="33" t="s">
        <v>36</v>
      </c>
    </row>
    <row r="61" spans="1:16" x14ac:dyDescent="0.3">
      <c r="A61" s="46">
        <v>60</v>
      </c>
      <c r="B61" s="24" t="s">
        <v>296</v>
      </c>
      <c r="C61" s="23" t="s">
        <v>297</v>
      </c>
      <c r="D61" t="s">
        <v>190</v>
      </c>
      <c r="E61" s="8" t="s">
        <v>20</v>
      </c>
      <c r="F61" s="8" t="s">
        <v>161</v>
      </c>
      <c r="G61" s="8" t="s">
        <v>19</v>
      </c>
      <c r="H61" s="8" t="s">
        <v>20</v>
      </c>
      <c r="I61" s="8" t="s">
        <v>20</v>
      </c>
      <c r="J61" s="8" t="s">
        <v>20</v>
      </c>
      <c r="K61" t="s">
        <v>298</v>
      </c>
      <c r="L61" s="25" t="s">
        <v>83</v>
      </c>
      <c r="M61" s="25" t="s">
        <v>299</v>
      </c>
      <c r="N61" s="2" t="s">
        <v>161</v>
      </c>
      <c r="O61" s="2" t="s">
        <v>161</v>
      </c>
      <c r="P61" s="10" t="s">
        <v>239</v>
      </c>
    </row>
    <row r="62" spans="1:16" x14ac:dyDescent="0.3">
      <c r="A62" s="46">
        <v>61</v>
      </c>
      <c r="B62" s="9" t="s">
        <v>300</v>
      </c>
      <c r="C62" s="7" t="s">
        <v>301</v>
      </c>
      <c r="D62" s="23" t="s">
        <v>18</v>
      </c>
      <c r="E62" s="8" t="s">
        <v>19</v>
      </c>
      <c r="F62" s="8" t="s">
        <v>20</v>
      </c>
      <c r="G62" s="8" t="s">
        <v>20</v>
      </c>
      <c r="H62" s="8" t="s">
        <v>20</v>
      </c>
      <c r="I62" s="8" t="s">
        <v>19</v>
      </c>
      <c r="J62" s="8" t="s">
        <v>20</v>
      </c>
      <c r="K62"/>
      <c r="L62" s="25" t="s">
        <v>83</v>
      </c>
      <c r="M62" t="s">
        <v>302</v>
      </c>
      <c r="N62" s="32" t="s">
        <v>23</v>
      </c>
      <c r="O62" s="32" t="s">
        <v>30</v>
      </c>
      <c r="P62" s="33" t="s">
        <v>175</v>
      </c>
    </row>
    <row r="63" spans="1:16" x14ac:dyDescent="0.3">
      <c r="A63" s="46">
        <v>62</v>
      </c>
      <c r="B63" s="9" t="s">
        <v>103</v>
      </c>
      <c r="C63" s="7" t="s">
        <v>104</v>
      </c>
      <c r="D63" s="23" t="s">
        <v>105</v>
      </c>
      <c r="E63" s="25" t="s">
        <v>19</v>
      </c>
      <c r="F63" s="25" t="s">
        <v>19</v>
      </c>
      <c r="G63" s="25" t="s">
        <v>20</v>
      </c>
      <c r="H63" s="25" t="s">
        <v>19</v>
      </c>
      <c r="I63" s="25" t="s">
        <v>19</v>
      </c>
      <c r="J63" s="25" t="s">
        <v>20</v>
      </c>
      <c r="K63" t="s">
        <v>518</v>
      </c>
      <c r="L63" s="25" t="s">
        <v>83</v>
      </c>
      <c r="M63" t="s">
        <v>106</v>
      </c>
      <c r="N63" s="32" t="s">
        <v>23</v>
      </c>
      <c r="O63" s="32" t="s">
        <v>42</v>
      </c>
      <c r="P63" s="33" t="s">
        <v>107</v>
      </c>
    </row>
    <row r="64" spans="1:16" x14ac:dyDescent="0.3">
      <c r="A64" s="46">
        <v>63</v>
      </c>
      <c r="B64" s="9" t="s">
        <v>303</v>
      </c>
      <c r="C64" s="7" t="s">
        <v>304</v>
      </c>
      <c r="D64" s="23" t="s">
        <v>305</v>
      </c>
      <c r="E64" s="25" t="s">
        <v>20</v>
      </c>
      <c r="F64" s="25" t="s">
        <v>20</v>
      </c>
      <c r="G64" s="25" t="s">
        <v>20</v>
      </c>
      <c r="H64" s="25" t="s">
        <v>19</v>
      </c>
      <c r="I64" s="25" t="s">
        <v>20</v>
      </c>
      <c r="J64" s="25" t="s">
        <v>20</v>
      </c>
      <c r="K64" t="s">
        <v>306</v>
      </c>
      <c r="L64" s="25" t="s">
        <v>83</v>
      </c>
      <c r="M64" t="s">
        <v>307</v>
      </c>
      <c r="N64" s="32" t="s">
        <v>161</v>
      </c>
      <c r="O64" s="32" t="s">
        <v>161</v>
      </c>
      <c r="P64" s="33" t="s">
        <v>36</v>
      </c>
    </row>
    <row r="65" spans="1:16" x14ac:dyDescent="0.3">
      <c r="A65" s="46">
        <v>64</v>
      </c>
      <c r="B65" s="9" t="s">
        <v>308</v>
      </c>
      <c r="C65" s="7" t="s">
        <v>309</v>
      </c>
      <c r="D65" s="23" t="s">
        <v>190</v>
      </c>
      <c r="E65" s="8" t="s">
        <v>19</v>
      </c>
      <c r="F65" s="8" t="s">
        <v>20</v>
      </c>
      <c r="G65" s="8" t="s">
        <v>20</v>
      </c>
      <c r="H65" s="8" t="s">
        <v>20</v>
      </c>
      <c r="I65" s="8" t="s">
        <v>20</v>
      </c>
      <c r="J65" s="8" t="s">
        <v>20</v>
      </c>
      <c r="K65"/>
      <c r="L65" s="25" t="s">
        <v>83</v>
      </c>
      <c r="M65" t="s">
        <v>310</v>
      </c>
      <c r="N65" s="2" t="s">
        <v>161</v>
      </c>
      <c r="O65" s="2" t="s">
        <v>42</v>
      </c>
      <c r="P65" s="10" t="s">
        <v>36</v>
      </c>
    </row>
    <row r="66" spans="1:16" ht="57.6" x14ac:dyDescent="0.3">
      <c r="A66" s="46">
        <v>65</v>
      </c>
      <c r="B66" s="9" t="s">
        <v>119</v>
      </c>
      <c r="C66" s="7" t="s">
        <v>120</v>
      </c>
      <c r="D66" t="s">
        <v>121</v>
      </c>
      <c r="E66" s="25" t="s">
        <v>19</v>
      </c>
      <c r="F66" s="42" t="s">
        <v>20</v>
      </c>
      <c r="G66" s="25" t="s">
        <v>19</v>
      </c>
      <c r="H66" s="25" t="s">
        <v>19</v>
      </c>
      <c r="I66" s="25" t="s">
        <v>19</v>
      </c>
      <c r="J66" s="25" t="s">
        <v>19</v>
      </c>
      <c r="K66" s="4" t="s">
        <v>519</v>
      </c>
      <c r="L66" s="42" t="s">
        <v>83</v>
      </c>
      <c r="M66" t="s">
        <v>122</v>
      </c>
      <c r="N66" s="2" t="s">
        <v>23</v>
      </c>
      <c r="O66" s="2" t="s">
        <v>42</v>
      </c>
      <c r="P66" s="10" t="s">
        <v>51</v>
      </c>
    </row>
    <row r="67" spans="1:16" x14ac:dyDescent="0.3">
      <c r="A67" s="46">
        <v>66</v>
      </c>
      <c r="B67" s="24" t="s">
        <v>311</v>
      </c>
      <c r="C67" s="7" t="s">
        <v>312</v>
      </c>
      <c r="D67" s="23" t="s">
        <v>313</v>
      </c>
      <c r="E67" s="25" t="s">
        <v>19</v>
      </c>
      <c r="F67" s="25" t="s">
        <v>20</v>
      </c>
      <c r="G67" s="25" t="s">
        <v>20</v>
      </c>
      <c r="H67" s="25" t="s">
        <v>19</v>
      </c>
      <c r="I67" s="25" t="s">
        <v>19</v>
      </c>
      <c r="J67" s="25" t="s">
        <v>20</v>
      </c>
      <c r="K67" t="s">
        <v>520</v>
      </c>
      <c r="L67" s="25" t="s">
        <v>83</v>
      </c>
      <c r="M67" t="s">
        <v>314</v>
      </c>
      <c r="N67" s="32" t="s">
        <v>23</v>
      </c>
      <c r="O67" s="32" t="s">
        <v>42</v>
      </c>
      <c r="P67" s="33" t="s">
        <v>36</v>
      </c>
    </row>
    <row r="68" spans="1:16" ht="43.2" x14ac:dyDescent="0.3">
      <c r="A68" s="46">
        <v>67</v>
      </c>
      <c r="B68" s="9" t="s">
        <v>315</v>
      </c>
      <c r="C68" s="7" t="s">
        <v>316</v>
      </c>
      <c r="D68" s="23" t="s">
        <v>317</v>
      </c>
      <c r="E68" s="25" t="s">
        <v>20</v>
      </c>
      <c r="F68" s="25" t="s">
        <v>19</v>
      </c>
      <c r="G68" s="25" t="s">
        <v>20</v>
      </c>
      <c r="H68" s="25" t="s">
        <v>19</v>
      </c>
      <c r="I68" s="25" t="s">
        <v>161</v>
      </c>
      <c r="J68" s="25" t="s">
        <v>19</v>
      </c>
      <c r="K68" s="4" t="s">
        <v>521</v>
      </c>
      <c r="L68" s="25" t="s">
        <v>83</v>
      </c>
      <c r="M68" t="s">
        <v>318</v>
      </c>
      <c r="N68" s="32" t="s">
        <v>23</v>
      </c>
      <c r="O68" s="32" t="s">
        <v>161</v>
      </c>
      <c r="P68" s="33" t="s">
        <v>61</v>
      </c>
    </row>
    <row r="69" spans="1:16" ht="43.2" x14ac:dyDescent="0.3">
      <c r="A69" s="46">
        <v>68</v>
      </c>
      <c r="B69" s="9" t="s">
        <v>319</v>
      </c>
      <c r="C69" s="7" t="s">
        <v>320</v>
      </c>
      <c r="D69" s="23" t="s">
        <v>321</v>
      </c>
      <c r="E69" s="25" t="s">
        <v>19</v>
      </c>
      <c r="F69" s="25" t="s">
        <v>20</v>
      </c>
      <c r="G69" s="25" t="s">
        <v>20</v>
      </c>
      <c r="H69" s="25" t="s">
        <v>19</v>
      </c>
      <c r="I69" s="25" t="s">
        <v>19</v>
      </c>
      <c r="J69" s="25" t="s">
        <v>19</v>
      </c>
      <c r="K69" t="s">
        <v>522</v>
      </c>
      <c r="L69" s="25" t="s">
        <v>83</v>
      </c>
      <c r="M69" t="s">
        <v>322</v>
      </c>
      <c r="N69" s="34" t="s">
        <v>323</v>
      </c>
      <c r="O69" s="32" t="s">
        <v>223</v>
      </c>
      <c r="P69" s="33" t="s">
        <v>36</v>
      </c>
    </row>
    <row r="70" spans="1:16" ht="57.6" x14ac:dyDescent="0.3">
      <c r="A70" s="46">
        <v>69</v>
      </c>
      <c r="B70" s="9" t="s">
        <v>324</v>
      </c>
      <c r="C70" s="7" t="s">
        <v>325</v>
      </c>
      <c r="D70" s="23" t="s">
        <v>326</v>
      </c>
      <c r="E70" s="25" t="s">
        <v>19</v>
      </c>
      <c r="F70" s="25" t="s">
        <v>20</v>
      </c>
      <c r="G70" s="25" t="s">
        <v>19</v>
      </c>
      <c r="H70" s="25" t="s">
        <v>19</v>
      </c>
      <c r="I70" s="25" t="s">
        <v>19</v>
      </c>
      <c r="J70" s="25" t="s">
        <v>19</v>
      </c>
      <c r="K70" s="4" t="s">
        <v>523</v>
      </c>
      <c r="L70" s="25" t="s">
        <v>83</v>
      </c>
      <c r="M70" s="14" t="s">
        <v>327</v>
      </c>
      <c r="N70" s="32" t="s">
        <v>96</v>
      </c>
      <c r="O70" s="32" t="s">
        <v>30</v>
      </c>
      <c r="P70" s="33" t="s">
        <v>36</v>
      </c>
    </row>
    <row r="71" spans="1:16" x14ac:dyDescent="0.3">
      <c r="A71" s="46">
        <v>70</v>
      </c>
      <c r="B71" s="9" t="s">
        <v>328</v>
      </c>
      <c r="C71" t="s">
        <v>329</v>
      </c>
      <c r="D71" s="23" t="s">
        <v>18</v>
      </c>
      <c r="E71" s="25" t="s">
        <v>19</v>
      </c>
      <c r="F71" s="25" t="s">
        <v>161</v>
      </c>
      <c r="G71" s="25" t="s">
        <v>161</v>
      </c>
      <c r="H71" s="25" t="s">
        <v>20</v>
      </c>
      <c r="I71" s="25" t="s">
        <v>20</v>
      </c>
      <c r="J71" s="25" t="s">
        <v>20</v>
      </c>
      <c r="K71" t="s">
        <v>330</v>
      </c>
      <c r="L71" s="25" t="s">
        <v>83</v>
      </c>
      <c r="M71" t="s">
        <v>331</v>
      </c>
      <c r="N71" s="32" t="s">
        <v>127</v>
      </c>
      <c r="O71" s="32" t="s">
        <v>30</v>
      </c>
      <c r="P71" s="33" t="s">
        <v>36</v>
      </c>
    </row>
    <row r="72" spans="1:16" ht="86.4" x14ac:dyDescent="0.3">
      <c r="A72" s="46">
        <v>71</v>
      </c>
      <c r="B72" s="24" t="s">
        <v>332</v>
      </c>
      <c r="C72" s="7" t="s">
        <v>333</v>
      </c>
      <c r="D72" t="s">
        <v>18</v>
      </c>
      <c r="E72" s="25" t="s">
        <v>19</v>
      </c>
      <c r="F72" s="25" t="s">
        <v>20</v>
      </c>
      <c r="G72" s="25" t="s">
        <v>19</v>
      </c>
      <c r="H72" s="25" t="s">
        <v>20</v>
      </c>
      <c r="I72" s="25" t="s">
        <v>19</v>
      </c>
      <c r="J72" s="25" t="s">
        <v>19</v>
      </c>
      <c r="K72" s="4" t="s">
        <v>524</v>
      </c>
      <c r="L72" s="25" t="s">
        <v>83</v>
      </c>
      <c r="M72" t="s">
        <v>334</v>
      </c>
      <c r="N72" s="32" t="s">
        <v>161</v>
      </c>
      <c r="O72" s="32" t="s">
        <v>30</v>
      </c>
      <c r="P72" s="33" t="s">
        <v>335</v>
      </c>
    </row>
    <row r="73" spans="1:16" ht="30" x14ac:dyDescent="0.3">
      <c r="A73" s="46">
        <v>72</v>
      </c>
      <c r="B73" s="24" t="s">
        <v>138</v>
      </c>
      <c r="C73" s="7" t="s">
        <v>139</v>
      </c>
      <c r="D73" s="23" t="s">
        <v>140</v>
      </c>
      <c r="E73" s="8" t="s">
        <v>19</v>
      </c>
      <c r="F73" s="8" t="s">
        <v>19</v>
      </c>
      <c r="G73" s="8" t="s">
        <v>19</v>
      </c>
      <c r="H73" s="25" t="s">
        <v>19</v>
      </c>
      <c r="I73" s="25" t="s">
        <v>20</v>
      </c>
      <c r="J73" s="8" t="s">
        <v>20</v>
      </c>
      <c r="K73" t="s">
        <v>525</v>
      </c>
      <c r="L73" s="25" t="s">
        <v>83</v>
      </c>
      <c r="M73" s="16" t="s">
        <v>141</v>
      </c>
      <c r="N73" s="32" t="s">
        <v>23</v>
      </c>
      <c r="O73" s="32" t="s">
        <v>30</v>
      </c>
      <c r="P73" s="33" t="s">
        <v>36</v>
      </c>
    </row>
    <row r="74" spans="1:16" x14ac:dyDescent="0.3">
      <c r="A74" s="46">
        <v>73</v>
      </c>
      <c r="B74" s="9" t="s">
        <v>336</v>
      </c>
      <c r="C74" s="7" t="s">
        <v>337</v>
      </c>
      <c r="D74" s="23" t="s">
        <v>18</v>
      </c>
      <c r="E74" s="8" t="s">
        <v>19</v>
      </c>
      <c r="F74" s="8" t="s">
        <v>20</v>
      </c>
      <c r="G74" s="8" t="s">
        <v>20</v>
      </c>
      <c r="H74" s="8" t="s">
        <v>19</v>
      </c>
      <c r="I74" s="8" t="s">
        <v>19</v>
      </c>
      <c r="J74" s="8" t="s">
        <v>20</v>
      </c>
      <c r="K74"/>
      <c r="L74" s="25" t="s">
        <v>83</v>
      </c>
      <c r="M74" t="s">
        <v>338</v>
      </c>
      <c r="N74" s="2" t="s">
        <v>161</v>
      </c>
      <c r="O74" s="2" t="s">
        <v>30</v>
      </c>
      <c r="P74" s="10" t="s">
        <v>36</v>
      </c>
    </row>
    <row r="75" spans="1:16" x14ac:dyDescent="0.3">
      <c r="A75" s="46">
        <v>74</v>
      </c>
      <c r="B75" s="9" t="s">
        <v>339</v>
      </c>
      <c r="C75" s="7" t="s">
        <v>340</v>
      </c>
      <c r="D75" s="23" t="s">
        <v>341</v>
      </c>
      <c r="E75" s="25" t="s">
        <v>19</v>
      </c>
      <c r="F75" s="25" t="s">
        <v>20</v>
      </c>
      <c r="G75" s="25" t="s">
        <v>20</v>
      </c>
      <c r="H75" s="25" t="s">
        <v>19</v>
      </c>
      <c r="I75" s="25" t="s">
        <v>19</v>
      </c>
      <c r="J75" s="25" t="s">
        <v>20</v>
      </c>
      <c r="K75" t="s">
        <v>342</v>
      </c>
      <c r="L75" s="25" t="s">
        <v>83</v>
      </c>
      <c r="M75" t="s">
        <v>343</v>
      </c>
      <c r="N75" s="32" t="s">
        <v>161</v>
      </c>
      <c r="O75" s="32" t="s">
        <v>42</v>
      </c>
      <c r="P75" s="33" t="s">
        <v>161</v>
      </c>
    </row>
    <row r="76" spans="1:16" x14ac:dyDescent="0.3">
      <c r="A76" s="47">
        <v>75</v>
      </c>
      <c r="B76" s="36" t="s">
        <v>344</v>
      </c>
      <c r="C76" s="17" t="s">
        <v>345</v>
      </c>
      <c r="D76" s="37" t="s">
        <v>344</v>
      </c>
      <c r="E76" s="18" t="s">
        <v>20</v>
      </c>
      <c r="F76" s="18" t="s">
        <v>20</v>
      </c>
      <c r="G76" s="38" t="s">
        <v>19</v>
      </c>
      <c r="H76" s="38" t="s">
        <v>19</v>
      </c>
      <c r="I76" s="38" t="s">
        <v>20</v>
      </c>
      <c r="J76" s="18" t="s">
        <v>19</v>
      </c>
      <c r="K76"/>
      <c r="L76" s="38" t="s">
        <v>83</v>
      </c>
      <c r="M76" s="17" t="s">
        <v>346</v>
      </c>
      <c r="N76" s="39" t="s">
        <v>161</v>
      </c>
      <c r="O76" s="39" t="s">
        <v>161</v>
      </c>
      <c r="P76" s="40" t="s">
        <v>36</v>
      </c>
    </row>
    <row r="78" spans="1:16" x14ac:dyDescent="0.3">
      <c r="B78" s="41" t="s">
        <v>347</v>
      </c>
      <c r="C78" s="41" t="s">
        <v>348</v>
      </c>
    </row>
    <row r="79" spans="1:16" x14ac:dyDescent="0.3">
      <c r="B79" s="19" t="s">
        <v>349</v>
      </c>
      <c r="C79" s="41" t="s">
        <v>350</v>
      </c>
    </row>
    <row r="87" spans="2:2" x14ac:dyDescent="0.3">
      <c r="B87" s="3"/>
    </row>
    <row r="89" spans="2:2" x14ac:dyDescent="0.3">
      <c r="B89" s="3"/>
    </row>
    <row r="91" spans="2:2" x14ac:dyDescent="0.3">
      <c r="B91" s="3"/>
    </row>
    <row r="93" spans="2:2" x14ac:dyDescent="0.3">
      <c r="B93" s="3"/>
    </row>
    <row r="95" spans="2:2" x14ac:dyDescent="0.3">
      <c r="B95" s="3"/>
    </row>
  </sheetData>
  <autoFilter ref="D1:D95" xr:uid="{3AB4B514-7A20-44DF-A78F-AA323E0E5083}"/>
  <sortState xmlns:xlrd2="http://schemas.microsoft.com/office/spreadsheetml/2017/richdata2" ref="A2:P76">
    <sortCondition sortBy="cellColor" ref="L2:L76" dxfId="2"/>
    <sortCondition ref="B2:B76"/>
  </sortState>
  <conditionalFormatting sqref="L2:L76">
    <cfRule type="cellIs" dxfId="1" priority="1" operator="equal">
      <formula>"Excluded"</formula>
    </cfRule>
    <cfRule type="containsText" dxfId="0" priority="2" operator="containsText" text="Included">
      <formula>NOT(ISERROR(SEARCH("Included",L2)))</formula>
    </cfRule>
  </conditionalFormatting>
  <hyperlinks>
    <hyperlink ref="C12" r:id="rId1" xr:uid="{84779864-E1EC-4974-95C4-085EADFA006E}"/>
    <hyperlink ref="C8" r:id="rId2" xr:uid="{3A1683E3-39CC-471F-85B0-34DFB8B25430}"/>
    <hyperlink ref="C54" r:id="rId3" xr:uid="{C81BC660-105E-4C93-8798-B538FEFCFB11}"/>
    <hyperlink ref="C38" r:id="rId4" xr:uid="{2FE9B740-35F0-4EF9-8312-3066BD4A1594}"/>
    <hyperlink ref="C23" r:id="rId5" xr:uid="{997B3277-9267-4CC9-998B-1990D9623143}"/>
    <hyperlink ref="C14" r:id="rId6" xr:uid="{47E9C029-4A0B-4789-A486-FEB3A2EBD4E7}"/>
    <hyperlink ref="C17" r:id="rId7" xr:uid="{B7DFBCA7-83DC-41E7-BA23-60E8F19E52FC}"/>
    <hyperlink ref="C7" r:id="rId8" xr:uid="{9644A13B-E14A-4EF3-8030-41243023C79D}"/>
    <hyperlink ref="C6" r:id="rId9" xr:uid="{5411C864-0E18-4502-B59B-FE27C6B2B5C8}"/>
    <hyperlink ref="C22" r:id="rId10" xr:uid="{3861B92B-FF34-4977-B1F9-F1F8F71E8637}"/>
    <hyperlink ref="C10" r:id="rId11" xr:uid="{C3C03406-8640-44D8-89C4-B7C510525AC9}"/>
    <hyperlink ref="C15" r:id="rId12" xr:uid="{DC61672F-71AF-46FD-867C-10D72BBD9F19}"/>
    <hyperlink ref="C29" r:id="rId13" xr:uid="{0D3D685D-11DA-4DBA-BB39-353C728B60C0}"/>
    <hyperlink ref="C28" r:id="rId14" xr:uid="{416460AA-1606-4CA4-BA6E-F74F2BA17E92}"/>
    <hyperlink ref="C41" r:id="rId15" xr:uid="{6EA05DCA-F14B-4018-97B8-46876F96A3ED}"/>
    <hyperlink ref="C64" r:id="rId16" xr:uid="{243FEE3C-F4F3-423E-8D8A-4EDC419A9227}"/>
    <hyperlink ref="C36" r:id="rId17" xr:uid="{05FB45EA-9B82-4E93-895E-2B8B27BDDD39}"/>
    <hyperlink ref="C72" r:id="rId18" xr:uid="{D6E4F32A-565C-4EBC-A6AD-694317203EFF}"/>
    <hyperlink ref="C26" r:id="rId19" xr:uid="{5BED7CA9-DBEE-48AA-92F9-301ED053F024}"/>
    <hyperlink ref="C27" r:id="rId20" xr:uid="{23B8B2DF-2BC2-47B7-97D1-9329B4659862}"/>
    <hyperlink ref="C32" r:id="rId21" xr:uid="{ECE12C46-9827-4FEA-AE94-C7C8267B87A9}"/>
    <hyperlink ref="C53" r:id="rId22" xr:uid="{D98BB61B-C438-496D-A2BA-F2C4A5592C97}"/>
    <hyperlink ref="C2" r:id="rId23" xr:uid="{AA5A2438-6741-4051-A619-EB55EEA339A0}"/>
    <hyperlink ref="C67" r:id="rId24" xr:uid="{008DDDE8-5C0F-452B-B140-645355CD6207}"/>
    <hyperlink ref="C42" r:id="rId25" xr:uid="{B582D21C-F3F1-4612-AD3F-0333EAA48895}"/>
    <hyperlink ref="C11" r:id="rId26" xr:uid="{AEAD7881-C4B7-4369-A824-E4BB520B564E}"/>
    <hyperlink ref="C52" r:id="rId27" xr:uid="{8DC8064D-1E6C-4423-9BB2-C2CC6B740BEB}"/>
    <hyperlink ref="C9" r:id="rId28" xr:uid="{1AEFF0DC-1032-4A12-B239-6B56C4829EC1}"/>
    <hyperlink ref="C47" r:id="rId29" xr:uid="{60F89779-8EA0-4A92-A737-0FDFD8851CB1}"/>
    <hyperlink ref="C20" r:id="rId30" xr:uid="{2D8A7712-4B0A-490C-9259-50C71D0E394A}"/>
    <hyperlink ref="C3" r:id="rId31" xr:uid="{37A61C08-4AF8-4A3F-8E04-A7EE149E7AB3}"/>
    <hyperlink ref="C4" r:id="rId32" xr:uid="{82101B6F-4DE6-4B6D-8B22-E926956C8A87}"/>
    <hyperlink ref="C34" r:id="rId33" xr:uid="{EA6F3514-617F-400C-8D60-19FDFD1D06C5}"/>
    <hyperlink ref="C55" r:id="rId34" xr:uid="{7985D3D4-4462-4CD5-AFAB-CCF287DF2A9B}"/>
    <hyperlink ref="C25" r:id="rId35" xr:uid="{C45F675C-615C-4721-8B46-D164738D3FA2}"/>
    <hyperlink ref="C33" r:id="rId36" xr:uid="{5ADE67EA-472B-463C-B65F-1D141C14F3E8}"/>
    <hyperlink ref="C44" r:id="rId37" xr:uid="{76462E06-2B91-42BE-BB03-6D89F2AF0CB3}"/>
    <hyperlink ref="C75" r:id="rId38" xr:uid="{E3404580-60C7-4F5D-85F2-3B5E8F41BF2B}"/>
    <hyperlink ref="C5" r:id="rId39" xr:uid="{24A1A92F-C604-4DF1-85F2-48CF1412AEFD}"/>
    <hyperlink ref="C51" r:id="rId40" xr:uid="{5A04B59F-2C2B-4EE9-8D5A-594A6F26DEF7}"/>
    <hyperlink ref="C63" r:id="rId41" xr:uid="{39859666-0A75-4295-B64D-ECAE0A857474}"/>
    <hyperlink ref="C21" r:id="rId42" display="https://github.com/0xPlaygrounds/rig" xr:uid="{0F3B21B7-484D-4233-9B62-95D60CF9A822}"/>
    <hyperlink ref="C48" r:id="rId43" xr:uid="{F2AC3404-DB8C-4BA5-A2E4-34DE298C7323}"/>
    <hyperlink ref="C49" r:id="rId44" xr:uid="{66E595C8-D55F-4AEF-A34F-ED06967B44DF}"/>
    <hyperlink ref="C13" r:id="rId45" xr:uid="{2D3109BB-9300-45DC-A27C-93C1B07C7D7E}"/>
    <hyperlink ref="C62" r:id="rId46" xr:uid="{7EE188AB-CE06-4687-A857-5EF60AB3262D}"/>
    <hyperlink ref="C40" r:id="rId47" xr:uid="{B5CCF465-5FC3-445D-A2BA-CAD63933F89F}"/>
    <hyperlink ref="C57" r:id="rId48" xr:uid="{9F8F9981-01F1-41AE-9002-60114E039E65}"/>
    <hyperlink ref="C68" r:id="rId49" xr:uid="{80EF7DA6-EF75-451F-A67C-7A78C24C250F}"/>
    <hyperlink ref="C43" r:id="rId50" xr:uid="{45EACD4F-AF7C-4319-A108-A88BBCE52005}"/>
    <hyperlink ref="C50" r:id="rId51" xr:uid="{F5CA62E1-B157-4778-9A82-9FA6F1B7A85B}"/>
    <hyperlink ref="C56" r:id="rId52" xr:uid="{3F38ABF2-5796-427A-A97E-D5627EF65014}"/>
    <hyperlink ref="C59" r:id="rId53" xr:uid="{1E4FDC1E-8D22-42BB-9150-68E5A4684FC2}"/>
    <hyperlink ref="C69" r:id="rId54" xr:uid="{414E8446-6084-4C92-8C41-76B376E1719D}"/>
    <hyperlink ref="C30" r:id="rId55" xr:uid="{195E0584-1AA0-4AA4-8104-93951D65A1EE}"/>
    <hyperlink ref="C18" r:id="rId56" xr:uid="{B4C38B47-433B-49DC-B33E-0D9032F1BE88}"/>
    <hyperlink ref="C19" r:id="rId57" xr:uid="{C6C8A21A-BEFF-4D44-9A7C-E7E2416F0274}"/>
    <hyperlink ref="C66" r:id="rId58" xr:uid="{C3DF0A12-564A-461E-A024-03BB35809F4D}"/>
    <hyperlink ref="C73" r:id="rId59" xr:uid="{34D859F7-B3FF-4E49-A3A2-31BDD644F7AD}"/>
    <hyperlink ref="C24" r:id="rId60" xr:uid="{6038BEEB-8EB3-4600-A86F-C1AE85DDDAB0}"/>
    <hyperlink ref="C16" r:id="rId61" xr:uid="{A0701060-1A2A-457D-BA52-368CC926A008}"/>
  </hyperlinks>
  <pageMargins left="0.7" right="0.7" top="0.75" bottom="0.75" header="0.3" footer="0.3"/>
  <pageSetup paperSize="9" orientation="portrait" r:id="rId6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CC591-FBB2-4383-ABE2-8600ACEE3AA8}">
  <dimension ref="A1:J50"/>
  <sheetViews>
    <sheetView tabSelected="1" workbookViewId="0">
      <selection activeCell="C44" sqref="C44"/>
    </sheetView>
  </sheetViews>
  <sheetFormatPr baseColWidth="10" defaultColWidth="11.44140625" defaultRowHeight="14.4" x14ac:dyDescent="0.3"/>
  <cols>
    <col min="1" max="1" width="17.5546875" bestFit="1" customWidth="1"/>
    <col min="2" max="2" width="37.88671875" style="4" customWidth="1"/>
    <col min="3" max="3" width="29.109375" bestFit="1" customWidth="1"/>
    <col min="4" max="4" width="27.77734375" style="4" customWidth="1"/>
    <col min="5" max="5" width="32.6640625" style="4" bestFit="1" customWidth="1"/>
    <col min="6" max="6" width="30.21875" bestFit="1" customWidth="1"/>
    <col min="7" max="7" width="21.33203125" bestFit="1" customWidth="1"/>
    <col min="8" max="8" width="28.109375" bestFit="1" customWidth="1"/>
    <col min="9" max="9" width="16.21875" bestFit="1" customWidth="1"/>
    <col min="10" max="10" width="19.109375" style="4" customWidth="1"/>
  </cols>
  <sheetData>
    <row r="1" spans="1:10" x14ac:dyDescent="0.3">
      <c r="A1" s="5" t="s">
        <v>351</v>
      </c>
      <c r="B1" s="6" t="s">
        <v>352</v>
      </c>
      <c r="C1" s="5" t="s">
        <v>353</v>
      </c>
      <c r="D1" s="6" t="s">
        <v>354</v>
      </c>
      <c r="E1" s="5" t="s">
        <v>459</v>
      </c>
      <c r="F1" s="5" t="s">
        <v>458</v>
      </c>
      <c r="G1" s="5" t="s">
        <v>355</v>
      </c>
      <c r="H1" s="5" t="s">
        <v>356</v>
      </c>
      <c r="I1" s="5" t="s">
        <v>357</v>
      </c>
      <c r="J1" s="6" t="s">
        <v>10</v>
      </c>
    </row>
    <row r="2" spans="1:10" ht="86.4" x14ac:dyDescent="0.3">
      <c r="A2" s="53" t="s">
        <v>358</v>
      </c>
      <c r="B2" s="60" t="s">
        <v>462</v>
      </c>
      <c r="C2" s="22">
        <f t="shared" ref="C2:C37" si="0">IF(D2="",0, LEN(D2) - LEN(SUBSTITUTE(D2, ",", "")) + 1)</f>
        <v>26</v>
      </c>
      <c r="D2" s="48" t="s">
        <v>446</v>
      </c>
      <c r="E2" s="21"/>
      <c r="F2" s="22">
        <f t="shared" ref="F2:F37" si="1">IF(C2&lt;6, 1, IF(C2&lt;=12, 2, 3))</f>
        <v>3</v>
      </c>
      <c r="G2" s="22">
        <v>3</v>
      </c>
      <c r="H2" s="22">
        <f t="shared" ref="H2:H37" si="2">IF(E2="",2,1)</f>
        <v>2</v>
      </c>
      <c r="I2" s="22">
        <f t="shared" ref="I2:I37" si="3">SUM(F2:H2)</f>
        <v>8</v>
      </c>
      <c r="J2" s="55"/>
    </row>
    <row r="3" spans="1:10" ht="43.2" x14ac:dyDescent="0.3">
      <c r="A3" s="54" t="s">
        <v>359</v>
      </c>
      <c r="B3" s="51" t="s">
        <v>463</v>
      </c>
      <c r="C3" s="49">
        <f t="shared" si="0"/>
        <v>20</v>
      </c>
      <c r="D3" s="50" t="s">
        <v>448</v>
      </c>
      <c r="E3" s="51"/>
      <c r="F3" s="49">
        <f t="shared" si="1"/>
        <v>3</v>
      </c>
      <c r="G3" s="49">
        <v>3</v>
      </c>
      <c r="H3" s="49">
        <f t="shared" si="2"/>
        <v>2</v>
      </c>
      <c r="I3" s="49">
        <f t="shared" si="3"/>
        <v>8</v>
      </c>
      <c r="J3" s="56"/>
    </row>
    <row r="4" spans="1:10" ht="57.6" x14ac:dyDescent="0.3">
      <c r="A4" s="54" t="s">
        <v>366</v>
      </c>
      <c r="B4" s="51" t="s">
        <v>464</v>
      </c>
      <c r="C4" s="49">
        <f t="shared" si="0"/>
        <v>16</v>
      </c>
      <c r="D4" s="50" t="s">
        <v>447</v>
      </c>
      <c r="E4" s="51"/>
      <c r="F4" s="49">
        <f t="shared" si="1"/>
        <v>3</v>
      </c>
      <c r="G4" s="49">
        <v>3</v>
      </c>
      <c r="H4" s="49">
        <f t="shared" si="2"/>
        <v>2</v>
      </c>
      <c r="I4" s="49">
        <f t="shared" si="3"/>
        <v>8</v>
      </c>
      <c r="J4" s="56" t="s">
        <v>424</v>
      </c>
    </row>
    <row r="5" spans="1:10" ht="72" x14ac:dyDescent="0.3">
      <c r="A5" s="54" t="s">
        <v>385</v>
      </c>
      <c r="B5" s="51" t="s">
        <v>465</v>
      </c>
      <c r="C5" s="49">
        <f t="shared" si="0"/>
        <v>19</v>
      </c>
      <c r="D5" s="50" t="s">
        <v>453</v>
      </c>
      <c r="E5" s="50" t="s">
        <v>454</v>
      </c>
      <c r="F5" s="49">
        <f t="shared" si="1"/>
        <v>3</v>
      </c>
      <c r="G5" s="49">
        <v>3</v>
      </c>
      <c r="H5" s="49">
        <f t="shared" si="2"/>
        <v>1</v>
      </c>
      <c r="I5" s="49">
        <f t="shared" si="3"/>
        <v>7</v>
      </c>
      <c r="J5" s="56"/>
    </row>
    <row r="6" spans="1:10" ht="57.6" x14ac:dyDescent="0.3">
      <c r="A6" s="54" t="s">
        <v>362</v>
      </c>
      <c r="B6" s="59" t="s">
        <v>466</v>
      </c>
      <c r="C6" s="49">
        <f t="shared" si="0"/>
        <v>3</v>
      </c>
      <c r="D6" s="52" t="s">
        <v>363</v>
      </c>
      <c r="E6" s="51"/>
      <c r="F6" s="49">
        <f t="shared" si="1"/>
        <v>1</v>
      </c>
      <c r="G6" s="49">
        <v>3</v>
      </c>
      <c r="H6" s="49">
        <f t="shared" si="2"/>
        <v>2</v>
      </c>
      <c r="I6" s="49">
        <f t="shared" si="3"/>
        <v>6</v>
      </c>
      <c r="J6" s="56"/>
    </row>
    <row r="7" spans="1:10" ht="43.2" x14ac:dyDescent="0.3">
      <c r="A7" s="54" t="s">
        <v>364</v>
      </c>
      <c r="B7" s="59" t="s">
        <v>467</v>
      </c>
      <c r="C7" s="49">
        <f t="shared" si="0"/>
        <v>6</v>
      </c>
      <c r="D7" s="50" t="s">
        <v>431</v>
      </c>
      <c r="E7" s="50" t="s">
        <v>432</v>
      </c>
      <c r="F7" s="49">
        <f t="shared" si="1"/>
        <v>2</v>
      </c>
      <c r="G7" s="49">
        <v>3</v>
      </c>
      <c r="H7" s="49">
        <f t="shared" si="2"/>
        <v>1</v>
      </c>
      <c r="I7" s="49">
        <f t="shared" si="3"/>
        <v>6</v>
      </c>
      <c r="J7" s="56"/>
    </row>
    <row r="8" spans="1:10" ht="43.2" x14ac:dyDescent="0.3">
      <c r="A8" s="54" t="s">
        <v>365</v>
      </c>
      <c r="B8" s="59" t="s">
        <v>468</v>
      </c>
      <c r="C8" s="49">
        <f t="shared" si="0"/>
        <v>3</v>
      </c>
      <c r="D8" s="50" t="s">
        <v>436</v>
      </c>
      <c r="E8" s="51"/>
      <c r="F8" s="49">
        <f t="shared" si="1"/>
        <v>1</v>
      </c>
      <c r="G8" s="49">
        <v>3</v>
      </c>
      <c r="H8" s="49">
        <f t="shared" si="2"/>
        <v>2</v>
      </c>
      <c r="I8" s="49">
        <f t="shared" si="3"/>
        <v>6</v>
      </c>
      <c r="J8" s="56"/>
    </row>
    <row r="9" spans="1:10" ht="57.6" x14ac:dyDescent="0.3">
      <c r="A9" s="54" t="s">
        <v>375</v>
      </c>
      <c r="B9" s="59" t="s">
        <v>469</v>
      </c>
      <c r="C9" s="49">
        <f t="shared" si="0"/>
        <v>9</v>
      </c>
      <c r="D9" s="50" t="s">
        <v>451</v>
      </c>
      <c r="E9" s="50" t="s">
        <v>452</v>
      </c>
      <c r="F9" s="49">
        <f t="shared" si="1"/>
        <v>2</v>
      </c>
      <c r="G9" s="49">
        <v>3</v>
      </c>
      <c r="H9" s="49">
        <f t="shared" si="2"/>
        <v>1</v>
      </c>
      <c r="I9" s="49">
        <f t="shared" si="3"/>
        <v>6</v>
      </c>
      <c r="J9" s="57" t="s">
        <v>376</v>
      </c>
    </row>
    <row r="10" spans="1:10" ht="57.6" x14ac:dyDescent="0.3">
      <c r="A10" s="54" t="s">
        <v>381</v>
      </c>
      <c r="B10" s="59" t="s">
        <v>470</v>
      </c>
      <c r="C10" s="49">
        <f t="shared" si="0"/>
        <v>11</v>
      </c>
      <c r="D10" s="50" t="s">
        <v>439</v>
      </c>
      <c r="E10" s="50" t="s">
        <v>437</v>
      </c>
      <c r="F10" s="49">
        <f t="shared" si="1"/>
        <v>2</v>
      </c>
      <c r="G10" s="49">
        <v>3</v>
      </c>
      <c r="H10" s="49">
        <f t="shared" si="2"/>
        <v>1</v>
      </c>
      <c r="I10" s="49">
        <f t="shared" si="3"/>
        <v>6</v>
      </c>
      <c r="J10" s="56"/>
    </row>
    <row r="11" spans="1:10" ht="57.6" x14ac:dyDescent="0.3">
      <c r="A11" s="54" t="s">
        <v>383</v>
      </c>
      <c r="B11" s="52" t="s">
        <v>384</v>
      </c>
      <c r="C11" s="49">
        <f t="shared" si="0"/>
        <v>10</v>
      </c>
      <c r="D11" s="50" t="s">
        <v>440</v>
      </c>
      <c r="E11" s="50" t="s">
        <v>441</v>
      </c>
      <c r="F11" s="49">
        <f t="shared" si="1"/>
        <v>2</v>
      </c>
      <c r="G11" s="49">
        <v>3</v>
      </c>
      <c r="H11" s="49">
        <f t="shared" si="2"/>
        <v>1</v>
      </c>
      <c r="I11" s="49">
        <f t="shared" si="3"/>
        <v>6</v>
      </c>
      <c r="J11" s="56" t="s">
        <v>442</v>
      </c>
    </row>
    <row r="12" spans="1:10" ht="28.8" x14ac:dyDescent="0.3">
      <c r="A12" s="54" t="s">
        <v>413</v>
      </c>
      <c r="B12" s="52" t="s">
        <v>414</v>
      </c>
      <c r="C12" s="49">
        <f t="shared" si="0"/>
        <v>7</v>
      </c>
      <c r="D12" s="50" t="s">
        <v>438</v>
      </c>
      <c r="E12" s="51"/>
      <c r="F12" s="49">
        <f t="shared" si="1"/>
        <v>2</v>
      </c>
      <c r="G12" s="49">
        <v>2</v>
      </c>
      <c r="H12" s="49">
        <f t="shared" si="2"/>
        <v>2</v>
      </c>
      <c r="I12" s="49">
        <f t="shared" si="3"/>
        <v>6</v>
      </c>
      <c r="J12" s="56"/>
    </row>
    <row r="13" spans="1:10" ht="57.6" x14ac:dyDescent="0.3">
      <c r="A13" s="54" t="s">
        <v>367</v>
      </c>
      <c r="B13" s="51" t="s">
        <v>471</v>
      </c>
      <c r="C13" s="49">
        <f t="shared" si="0"/>
        <v>2</v>
      </c>
      <c r="D13" s="52" t="s">
        <v>368</v>
      </c>
      <c r="E13" s="52" t="s">
        <v>369</v>
      </c>
      <c r="F13" s="49">
        <f t="shared" si="1"/>
        <v>1</v>
      </c>
      <c r="G13" s="49">
        <v>3</v>
      </c>
      <c r="H13" s="49">
        <f t="shared" si="2"/>
        <v>1</v>
      </c>
      <c r="I13" s="49">
        <f t="shared" si="3"/>
        <v>5</v>
      </c>
      <c r="J13" s="56"/>
    </row>
    <row r="14" spans="1:10" ht="57.6" x14ac:dyDescent="0.3">
      <c r="A14" s="54" t="s">
        <v>377</v>
      </c>
      <c r="B14" s="61" t="s">
        <v>473</v>
      </c>
      <c r="C14" s="49">
        <f t="shared" si="0"/>
        <v>7</v>
      </c>
      <c r="D14" s="50" t="s">
        <v>418</v>
      </c>
      <c r="E14" s="50" t="s">
        <v>419</v>
      </c>
      <c r="F14" s="49">
        <f t="shared" si="1"/>
        <v>2</v>
      </c>
      <c r="G14" s="49">
        <v>2</v>
      </c>
      <c r="H14" s="49">
        <f t="shared" si="2"/>
        <v>1</v>
      </c>
      <c r="I14" s="49">
        <f t="shared" si="3"/>
        <v>5</v>
      </c>
      <c r="J14" s="56"/>
    </row>
    <row r="15" spans="1:10" ht="43.2" x14ac:dyDescent="0.3">
      <c r="A15" s="54" t="s">
        <v>382</v>
      </c>
      <c r="B15" s="61" t="s">
        <v>474</v>
      </c>
      <c r="C15" s="49">
        <f t="shared" si="0"/>
        <v>6</v>
      </c>
      <c r="D15" s="51" t="s">
        <v>450</v>
      </c>
      <c r="E15" s="50" t="s">
        <v>435</v>
      </c>
      <c r="F15" s="49">
        <f t="shared" si="1"/>
        <v>2</v>
      </c>
      <c r="G15" s="49">
        <v>2</v>
      </c>
      <c r="H15" s="49">
        <f t="shared" si="2"/>
        <v>1</v>
      </c>
      <c r="I15" s="49">
        <f t="shared" si="3"/>
        <v>5</v>
      </c>
      <c r="J15" s="56"/>
    </row>
    <row r="16" spans="1:10" ht="43.2" x14ac:dyDescent="0.3">
      <c r="A16" s="54" t="s">
        <v>386</v>
      </c>
      <c r="B16" s="51" t="s">
        <v>475</v>
      </c>
      <c r="C16" s="49">
        <f t="shared" si="0"/>
        <v>2</v>
      </c>
      <c r="D16" s="52" t="s">
        <v>387</v>
      </c>
      <c r="E16" s="51"/>
      <c r="F16" s="49">
        <f t="shared" si="1"/>
        <v>1</v>
      </c>
      <c r="G16" s="49">
        <v>2</v>
      </c>
      <c r="H16" s="49">
        <f t="shared" si="2"/>
        <v>2</v>
      </c>
      <c r="I16" s="49">
        <f t="shared" si="3"/>
        <v>5</v>
      </c>
      <c r="J16" s="56"/>
    </row>
    <row r="17" spans="1:10" ht="57.6" x14ac:dyDescent="0.3">
      <c r="A17" s="54" t="s">
        <v>388</v>
      </c>
      <c r="B17" s="51" t="s">
        <v>476</v>
      </c>
      <c r="C17" s="49">
        <f t="shared" si="0"/>
        <v>9</v>
      </c>
      <c r="D17" s="50" t="s">
        <v>449</v>
      </c>
      <c r="E17" s="51" t="s">
        <v>423</v>
      </c>
      <c r="F17" s="49">
        <f t="shared" si="1"/>
        <v>2</v>
      </c>
      <c r="G17" s="49">
        <v>2</v>
      </c>
      <c r="H17" s="49">
        <f t="shared" si="2"/>
        <v>1</v>
      </c>
      <c r="I17" s="49">
        <f t="shared" si="3"/>
        <v>5</v>
      </c>
      <c r="J17" s="56"/>
    </row>
    <row r="18" spans="1:10" ht="57.6" x14ac:dyDescent="0.3">
      <c r="A18" s="54" t="s">
        <v>391</v>
      </c>
      <c r="B18" s="61" t="s">
        <v>477</v>
      </c>
      <c r="C18" s="49">
        <f t="shared" si="0"/>
        <v>12</v>
      </c>
      <c r="D18" s="50" t="s">
        <v>444</v>
      </c>
      <c r="E18" s="50" t="s">
        <v>445</v>
      </c>
      <c r="F18" s="49">
        <f t="shared" si="1"/>
        <v>2</v>
      </c>
      <c r="G18" s="49">
        <v>2</v>
      </c>
      <c r="H18" s="49">
        <f t="shared" si="2"/>
        <v>1</v>
      </c>
      <c r="I18" s="49">
        <f t="shared" si="3"/>
        <v>5</v>
      </c>
      <c r="J18" s="56"/>
    </row>
    <row r="19" spans="1:10" ht="43.2" x14ac:dyDescent="0.3">
      <c r="A19" s="54" t="s">
        <v>392</v>
      </c>
      <c r="B19" s="51" t="s">
        <v>478</v>
      </c>
      <c r="C19" s="49">
        <f t="shared" si="0"/>
        <v>1</v>
      </c>
      <c r="D19" s="51">
        <v>2</v>
      </c>
      <c r="E19" s="51"/>
      <c r="F19" s="49">
        <f t="shared" si="1"/>
        <v>1</v>
      </c>
      <c r="G19" s="49">
        <v>2</v>
      </c>
      <c r="H19" s="49">
        <f t="shared" si="2"/>
        <v>2</v>
      </c>
      <c r="I19" s="49">
        <f t="shared" si="3"/>
        <v>5</v>
      </c>
      <c r="J19" s="56"/>
    </row>
    <row r="20" spans="1:10" ht="43.2" x14ac:dyDescent="0.3">
      <c r="A20" s="54" t="s">
        <v>403</v>
      </c>
      <c r="B20" s="51" t="s">
        <v>472</v>
      </c>
      <c r="C20" s="49">
        <f t="shared" si="0"/>
        <v>2</v>
      </c>
      <c r="D20" s="52" t="s">
        <v>404</v>
      </c>
      <c r="E20" s="51" t="s">
        <v>405</v>
      </c>
      <c r="F20" s="49">
        <f t="shared" si="1"/>
        <v>1</v>
      </c>
      <c r="G20" s="49">
        <v>3</v>
      </c>
      <c r="H20" s="49">
        <f t="shared" si="2"/>
        <v>1</v>
      </c>
      <c r="I20" s="49">
        <f t="shared" si="3"/>
        <v>5</v>
      </c>
      <c r="J20" s="56"/>
    </row>
    <row r="21" spans="1:10" ht="43.2" x14ac:dyDescent="0.3">
      <c r="A21" s="54" t="s">
        <v>415</v>
      </c>
      <c r="B21" s="61" t="s">
        <v>479</v>
      </c>
      <c r="C21" s="49">
        <f t="shared" si="0"/>
        <v>1</v>
      </c>
      <c r="D21" s="51">
        <v>9</v>
      </c>
      <c r="E21" s="51"/>
      <c r="F21" s="49">
        <f t="shared" si="1"/>
        <v>1</v>
      </c>
      <c r="G21" s="49">
        <v>2</v>
      </c>
      <c r="H21" s="49">
        <f t="shared" si="2"/>
        <v>2</v>
      </c>
      <c r="I21" s="49">
        <f t="shared" si="3"/>
        <v>5</v>
      </c>
      <c r="J21" s="56"/>
    </row>
    <row r="22" spans="1:10" ht="43.2" x14ac:dyDescent="0.3">
      <c r="A22" s="54" t="s">
        <v>443</v>
      </c>
      <c r="B22" s="61" t="s">
        <v>480</v>
      </c>
      <c r="C22" s="49">
        <f t="shared" si="0"/>
        <v>1</v>
      </c>
      <c r="D22" s="51">
        <v>25</v>
      </c>
      <c r="E22" s="51"/>
      <c r="F22" s="49">
        <f t="shared" si="1"/>
        <v>1</v>
      </c>
      <c r="G22" s="49">
        <v>2</v>
      </c>
      <c r="H22" s="49">
        <f t="shared" si="2"/>
        <v>2</v>
      </c>
      <c r="I22" s="49">
        <f t="shared" si="3"/>
        <v>5</v>
      </c>
      <c r="J22" s="56"/>
    </row>
    <row r="23" spans="1:10" ht="28.8" x14ac:dyDescent="0.3">
      <c r="A23" s="54" t="s">
        <v>360</v>
      </c>
      <c r="B23" s="61" t="s">
        <v>481</v>
      </c>
      <c r="C23" s="49">
        <f t="shared" si="0"/>
        <v>5</v>
      </c>
      <c r="D23" s="50" t="s">
        <v>433</v>
      </c>
      <c r="E23" s="50" t="s">
        <v>434</v>
      </c>
      <c r="F23" s="49">
        <f t="shared" si="1"/>
        <v>1</v>
      </c>
      <c r="G23" s="49">
        <v>2</v>
      </c>
      <c r="H23" s="49">
        <f t="shared" si="2"/>
        <v>1</v>
      </c>
      <c r="I23" s="49">
        <f t="shared" si="3"/>
        <v>4</v>
      </c>
      <c r="J23" s="57" t="s">
        <v>361</v>
      </c>
    </row>
    <row r="24" spans="1:10" ht="28.8" x14ac:dyDescent="0.3">
      <c r="A24" s="54" t="s">
        <v>371</v>
      </c>
      <c r="B24" s="52" t="s">
        <v>372</v>
      </c>
      <c r="C24" s="49">
        <f t="shared" si="0"/>
        <v>5</v>
      </c>
      <c r="D24" s="52" t="s">
        <v>373</v>
      </c>
      <c r="E24" s="52" t="s">
        <v>374</v>
      </c>
      <c r="F24" s="49">
        <f t="shared" si="1"/>
        <v>1</v>
      </c>
      <c r="G24" s="49">
        <v>2</v>
      </c>
      <c r="H24" s="49">
        <f t="shared" si="2"/>
        <v>1</v>
      </c>
      <c r="I24" s="49">
        <f t="shared" si="3"/>
        <v>4</v>
      </c>
      <c r="J24" s="56"/>
    </row>
    <row r="25" spans="1:10" ht="43.2" x14ac:dyDescent="0.3">
      <c r="A25" s="54" t="s">
        <v>378</v>
      </c>
      <c r="B25" s="61" t="s">
        <v>482</v>
      </c>
      <c r="C25" s="49">
        <f t="shared" si="0"/>
        <v>5</v>
      </c>
      <c r="D25" s="52" t="s">
        <v>379</v>
      </c>
      <c r="E25" s="52" t="s">
        <v>380</v>
      </c>
      <c r="F25" s="49">
        <f t="shared" si="1"/>
        <v>1</v>
      </c>
      <c r="G25" s="49">
        <v>2</v>
      </c>
      <c r="H25" s="49">
        <f t="shared" si="2"/>
        <v>1</v>
      </c>
      <c r="I25" s="49">
        <f t="shared" si="3"/>
        <v>4</v>
      </c>
      <c r="J25" s="56"/>
    </row>
    <row r="26" spans="1:10" ht="28.8" x14ac:dyDescent="0.3">
      <c r="A26" s="54" t="s">
        <v>393</v>
      </c>
      <c r="B26" s="51" t="s">
        <v>394</v>
      </c>
      <c r="C26" s="49">
        <f t="shared" si="0"/>
        <v>5</v>
      </c>
      <c r="D26" s="52" t="s">
        <v>395</v>
      </c>
      <c r="E26" s="52" t="s">
        <v>396</v>
      </c>
      <c r="F26" s="49">
        <f t="shared" si="1"/>
        <v>1</v>
      </c>
      <c r="G26" s="49">
        <v>2</v>
      </c>
      <c r="H26" s="49">
        <f t="shared" si="2"/>
        <v>1</v>
      </c>
      <c r="I26" s="49">
        <f t="shared" si="3"/>
        <v>4</v>
      </c>
      <c r="J26" s="56"/>
    </row>
    <row r="27" spans="1:10" ht="72" x14ac:dyDescent="0.3">
      <c r="A27" s="54" t="s">
        <v>397</v>
      </c>
      <c r="B27" s="61" t="s">
        <v>483</v>
      </c>
      <c r="C27" s="49">
        <f t="shared" si="0"/>
        <v>3</v>
      </c>
      <c r="D27" s="51" t="s">
        <v>455</v>
      </c>
      <c r="E27" s="51" t="s">
        <v>456</v>
      </c>
      <c r="F27" s="49">
        <f t="shared" si="1"/>
        <v>1</v>
      </c>
      <c r="G27" s="49">
        <v>2</v>
      </c>
      <c r="H27" s="49">
        <f t="shared" si="2"/>
        <v>1</v>
      </c>
      <c r="I27" s="49">
        <f t="shared" si="3"/>
        <v>4</v>
      </c>
      <c r="J27" s="56" t="s">
        <v>457</v>
      </c>
    </row>
    <row r="28" spans="1:10" ht="28.8" x14ac:dyDescent="0.3">
      <c r="A28" s="54" t="s">
        <v>398</v>
      </c>
      <c r="B28" s="61" t="s">
        <v>484</v>
      </c>
      <c r="C28" s="49">
        <f t="shared" si="0"/>
        <v>1</v>
      </c>
      <c r="D28" s="51">
        <v>4</v>
      </c>
      <c r="E28" s="51"/>
      <c r="F28" s="49">
        <f t="shared" si="1"/>
        <v>1</v>
      </c>
      <c r="G28" s="49">
        <v>1</v>
      </c>
      <c r="H28" s="49">
        <f t="shared" si="2"/>
        <v>2</v>
      </c>
      <c r="I28" s="49">
        <f t="shared" si="3"/>
        <v>4</v>
      </c>
      <c r="J28" s="56"/>
    </row>
    <row r="29" spans="1:10" ht="57.6" x14ac:dyDescent="0.3">
      <c r="A29" s="54" t="s">
        <v>460</v>
      </c>
      <c r="B29" s="51" t="s">
        <v>485</v>
      </c>
      <c r="C29" s="49">
        <f t="shared" si="0"/>
        <v>1</v>
      </c>
      <c r="D29" s="51">
        <v>4</v>
      </c>
      <c r="E29" s="51"/>
      <c r="F29" s="49">
        <f t="shared" si="1"/>
        <v>1</v>
      </c>
      <c r="G29" s="49">
        <v>1</v>
      </c>
      <c r="H29" s="49">
        <f t="shared" si="2"/>
        <v>2</v>
      </c>
      <c r="I29" s="49">
        <f t="shared" si="3"/>
        <v>4</v>
      </c>
      <c r="J29" s="58" t="s">
        <v>461</v>
      </c>
    </row>
    <row r="30" spans="1:10" ht="28.8" x14ac:dyDescent="0.3">
      <c r="A30" s="54" t="s">
        <v>406</v>
      </c>
      <c r="B30" s="51" t="s">
        <v>486</v>
      </c>
      <c r="C30" s="49">
        <f t="shared" si="0"/>
        <v>4</v>
      </c>
      <c r="D30" s="52" t="s">
        <v>407</v>
      </c>
      <c r="E30" s="52" t="s">
        <v>408</v>
      </c>
      <c r="F30" s="49">
        <f t="shared" si="1"/>
        <v>1</v>
      </c>
      <c r="G30" s="49">
        <v>2</v>
      </c>
      <c r="H30" s="49">
        <f t="shared" si="2"/>
        <v>1</v>
      </c>
      <c r="I30" s="49">
        <f t="shared" si="3"/>
        <v>4</v>
      </c>
      <c r="J30" s="56"/>
    </row>
    <row r="31" spans="1:10" ht="72" x14ac:dyDescent="0.3">
      <c r="A31" s="54" t="s">
        <v>409</v>
      </c>
      <c r="B31" s="51" t="s">
        <v>487</v>
      </c>
      <c r="C31" s="49">
        <f t="shared" si="0"/>
        <v>2</v>
      </c>
      <c r="D31" s="51" t="s">
        <v>428</v>
      </c>
      <c r="E31" s="51" t="s">
        <v>429</v>
      </c>
      <c r="F31" s="49">
        <f t="shared" si="1"/>
        <v>1</v>
      </c>
      <c r="G31" s="49">
        <v>2</v>
      </c>
      <c r="H31" s="49">
        <f t="shared" si="2"/>
        <v>1</v>
      </c>
      <c r="I31" s="49">
        <f t="shared" si="3"/>
        <v>4</v>
      </c>
      <c r="J31" s="56" t="s">
        <v>430</v>
      </c>
    </row>
    <row r="32" spans="1:10" ht="28.8" x14ac:dyDescent="0.3">
      <c r="A32" s="54" t="s">
        <v>410</v>
      </c>
      <c r="B32" s="61" t="s">
        <v>488</v>
      </c>
      <c r="C32" s="49">
        <f t="shared" si="0"/>
        <v>3</v>
      </c>
      <c r="D32" s="51" t="s">
        <v>411</v>
      </c>
      <c r="E32" s="51" t="s">
        <v>412</v>
      </c>
      <c r="F32" s="49">
        <f t="shared" si="1"/>
        <v>1</v>
      </c>
      <c r="G32" s="49">
        <v>2</v>
      </c>
      <c r="H32" s="49">
        <f t="shared" si="2"/>
        <v>1</v>
      </c>
      <c r="I32" s="49">
        <f t="shared" si="3"/>
        <v>4</v>
      </c>
      <c r="J32" s="56"/>
    </row>
    <row r="33" spans="1:10" ht="28.8" x14ac:dyDescent="0.3">
      <c r="A33" s="54" t="s">
        <v>416</v>
      </c>
      <c r="B33" s="61" t="s">
        <v>489</v>
      </c>
      <c r="C33" s="49">
        <f t="shared" si="0"/>
        <v>1</v>
      </c>
      <c r="D33" s="51">
        <v>17</v>
      </c>
      <c r="E33" s="51"/>
      <c r="F33" s="49">
        <f t="shared" si="1"/>
        <v>1</v>
      </c>
      <c r="G33" s="49">
        <v>1</v>
      </c>
      <c r="H33" s="49">
        <f t="shared" si="2"/>
        <v>2</v>
      </c>
      <c r="I33" s="49">
        <f t="shared" si="3"/>
        <v>4</v>
      </c>
      <c r="J33" s="56"/>
    </row>
    <row r="34" spans="1:10" ht="57.6" x14ac:dyDescent="0.3">
      <c r="A34" s="54" t="s">
        <v>370</v>
      </c>
      <c r="B34" s="51" t="s">
        <v>490</v>
      </c>
      <c r="C34" s="49">
        <f t="shared" si="0"/>
        <v>2</v>
      </c>
      <c r="D34" s="51" t="s">
        <v>420</v>
      </c>
      <c r="E34" s="51" t="s">
        <v>421</v>
      </c>
      <c r="F34" s="49">
        <f t="shared" si="1"/>
        <v>1</v>
      </c>
      <c r="G34" s="49">
        <v>1</v>
      </c>
      <c r="H34" s="49">
        <f t="shared" si="2"/>
        <v>1</v>
      </c>
      <c r="I34" s="49">
        <f t="shared" si="3"/>
        <v>3</v>
      </c>
      <c r="J34" s="56" t="s">
        <v>422</v>
      </c>
    </row>
    <row r="35" spans="1:10" ht="28.8" x14ac:dyDescent="0.3">
      <c r="A35" s="54" t="s">
        <v>389</v>
      </c>
      <c r="B35" s="51" t="s">
        <v>491</v>
      </c>
      <c r="C35" s="49">
        <f t="shared" si="0"/>
        <v>5</v>
      </c>
      <c r="D35" s="50" t="s">
        <v>417</v>
      </c>
      <c r="E35" s="52" t="s">
        <v>390</v>
      </c>
      <c r="F35" s="49">
        <f t="shared" si="1"/>
        <v>1</v>
      </c>
      <c r="G35" s="49">
        <v>1</v>
      </c>
      <c r="H35" s="49">
        <f t="shared" si="2"/>
        <v>1</v>
      </c>
      <c r="I35" s="49">
        <f t="shared" si="3"/>
        <v>3</v>
      </c>
      <c r="J35" s="56"/>
    </row>
    <row r="36" spans="1:10" x14ac:dyDescent="0.3">
      <c r="A36" s="54" t="s">
        <v>399</v>
      </c>
      <c r="B36" s="52" t="s">
        <v>400</v>
      </c>
      <c r="C36" s="49">
        <v>5</v>
      </c>
      <c r="D36" s="51" t="s">
        <v>425</v>
      </c>
      <c r="E36" s="51" t="s">
        <v>401</v>
      </c>
      <c r="F36" s="49">
        <f>IF(C36&lt;6, 1, IF(C36&lt;=12, 2, 3))</f>
        <v>1</v>
      </c>
      <c r="G36" s="49">
        <v>1</v>
      </c>
      <c r="H36" s="49">
        <f t="shared" si="2"/>
        <v>1</v>
      </c>
      <c r="I36" s="49">
        <f t="shared" si="3"/>
        <v>3</v>
      </c>
      <c r="J36" s="56"/>
    </row>
    <row r="37" spans="1:10" ht="43.2" x14ac:dyDescent="0.3">
      <c r="A37" s="54" t="s">
        <v>402</v>
      </c>
      <c r="B37" s="51" t="s">
        <v>492</v>
      </c>
      <c r="C37" s="49">
        <f t="shared" si="0"/>
        <v>3</v>
      </c>
      <c r="D37" s="51" t="s">
        <v>426</v>
      </c>
      <c r="E37" s="51" t="s">
        <v>427</v>
      </c>
      <c r="F37" s="49">
        <f t="shared" si="1"/>
        <v>1</v>
      </c>
      <c r="G37" s="49">
        <v>1</v>
      </c>
      <c r="H37" s="49">
        <f t="shared" si="2"/>
        <v>1</v>
      </c>
      <c r="I37" s="49">
        <f t="shared" si="3"/>
        <v>3</v>
      </c>
      <c r="J37" s="56"/>
    </row>
    <row r="39" spans="1:10" x14ac:dyDescent="0.3">
      <c r="D39" s="26"/>
    </row>
    <row r="47" spans="1:10" x14ac:dyDescent="0.3">
      <c r="G47" s="4"/>
    </row>
    <row r="50" spans="4:7" x14ac:dyDescent="0.3">
      <c r="D50" s="44"/>
      <c r="G50" s="43"/>
    </row>
  </sheetData>
  <sortState xmlns:xlrd2="http://schemas.microsoft.com/office/spreadsheetml/2017/richdata2" ref="A2:J37">
    <sortCondition descending="1" ref="I2:I37"/>
  </sortState>
  <phoneticPr fontId="1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Full-List-Frameworks-and-Notes</vt:lpstr>
      <vt:lpstr>Terms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PONTES MIRANDA James</cp:lastModifiedBy>
  <cp:revision>6</cp:revision>
  <dcterms:created xsi:type="dcterms:W3CDTF">2025-07-01T08:18:38Z</dcterms:created>
  <dcterms:modified xsi:type="dcterms:W3CDTF">2025-09-29T11:59:25Z</dcterms:modified>
  <cp:category/>
  <cp:contentStatus/>
</cp:coreProperties>
</file>